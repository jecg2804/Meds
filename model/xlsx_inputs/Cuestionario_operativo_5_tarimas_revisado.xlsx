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ime Cucalon\Documents\"/>
    </mc:Choice>
  </mc:AlternateContent>
  <xr:revisionPtr revIDLastSave="0" documentId="8_{E1A47B1F-50A1-42BA-A632-09E608DEDCC9}" xr6:coauthVersionLast="47" xr6:coauthVersionMax="47" xr10:uidLastSave="{00000000-0000-0000-0000-000000000000}"/>
  <bookViews>
    <workbookView xWindow="-110" yWindow="-110" windowWidth="25820" windowHeight="16220" tabRatio="500" xr2:uid="{00000000-000D-0000-FFFF-FFFF00000000}"/>
  </bookViews>
  <sheets>
    <sheet name="Cuestionario - Español" sheetId="1" r:id="rId1"/>
    <sheet name="Cuestionario - Inglé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48" i="1" l="1"/>
  <c r="W46" i="1"/>
  <c r="T48" i="1" s="1"/>
  <c r="S38" i="1"/>
  <c r="T38" i="1" s="1"/>
  <c r="T35" i="1"/>
  <c r="U35" i="1" s="1"/>
  <c r="U34" i="1"/>
  <c r="U38" i="1" l="1"/>
</calcChain>
</file>

<file path=xl/sharedStrings.xml><?xml version="1.0" encoding="utf-8"?>
<sst xmlns="http://schemas.openxmlformats.org/spreadsheetml/2006/main" count="382" uniqueCount="334">
  <si>
    <t>Cuestionario Operativo</t>
  </si>
  <si>
    <t>Controlada</t>
  </si>
  <si>
    <t>15° a 25°</t>
  </si>
  <si>
    <t>Google | Redes sociales</t>
  </si>
  <si>
    <t>Ambiente - Seco</t>
  </si>
  <si>
    <t>2° a 8°</t>
  </si>
  <si>
    <t>Página Web</t>
  </si>
  <si>
    <t>FCL</t>
  </si>
  <si>
    <t>Datos de la Empresa</t>
  </si>
  <si>
    <t>Seca (Entre 30°C a 37°C)</t>
  </si>
  <si>
    <t>Referencia Interna</t>
  </si>
  <si>
    <t>LCL</t>
  </si>
  <si>
    <t>Otro</t>
  </si>
  <si>
    <t>Referencia Externa</t>
  </si>
  <si>
    <t>N/A</t>
  </si>
  <si>
    <t xml:space="preserve">Nombre de la Empresa  </t>
  </si>
  <si>
    <t>Aéreo</t>
  </si>
  <si>
    <t>Contacto Comercial</t>
  </si>
  <si>
    <t>Marítimo</t>
  </si>
  <si>
    <t>Referido por cliente activo</t>
  </si>
  <si>
    <t xml:space="preserve">Nombre de contacto  </t>
  </si>
  <si>
    <t>Terrestre</t>
  </si>
  <si>
    <t xml:space="preserve">Cargo  </t>
  </si>
  <si>
    <t>Gerente de Operaciones</t>
  </si>
  <si>
    <t>controlada</t>
  </si>
  <si>
    <t>Import &amp; Export</t>
  </si>
  <si>
    <t>ambiente</t>
  </si>
  <si>
    <t>Alimentos</t>
  </si>
  <si>
    <t xml:space="preserve">Teléfono  </t>
  </si>
  <si>
    <t xml:space="preserve">¿Otro? Especifique:  </t>
  </si>
  <si>
    <t>Cosméticos</t>
  </si>
  <si>
    <t>Farmacias y Drogas</t>
  </si>
  <si>
    <t>MIDA</t>
  </si>
  <si>
    <t>Información general de los productos y su comportamiento</t>
  </si>
  <si>
    <t>APA</t>
  </si>
  <si>
    <t>Manufactura</t>
  </si>
  <si>
    <t>Producto</t>
  </si>
  <si>
    <t>Razón principal para buscar un 3PL:</t>
  </si>
  <si>
    <t>Carácterísticas Especiales:</t>
  </si>
  <si>
    <t>Sí</t>
  </si>
  <si>
    <t>A Granel</t>
  </si>
  <si>
    <t>x</t>
  </si>
  <si>
    <t>Optimizar costos</t>
  </si>
  <si>
    <t xml:space="preserve">Tipo de Temperatura  </t>
  </si>
  <si>
    <t xml:space="preserve">¿Su producto se comercializará?  </t>
  </si>
  <si>
    <t>Local</t>
  </si>
  <si>
    <t>No</t>
  </si>
  <si>
    <t>Paletizado</t>
  </si>
  <si>
    <t>Slip Sheet</t>
  </si>
  <si>
    <t>Mejorar niveles de servicio</t>
  </si>
  <si>
    <t xml:space="preserve">Manejo Especial  </t>
  </si>
  <si>
    <t>Medicamentos (sólidos orales)</t>
  </si>
  <si>
    <t xml:space="preserve">Temperatura  </t>
  </si>
  <si>
    <t>Expandir operación regional</t>
  </si>
  <si>
    <t xml:space="preserve">Otro  </t>
  </si>
  <si>
    <t xml:space="preserve">----&gt;  Especifique:  </t>
  </si>
  <si>
    <t>Iniciar operación nueva</t>
  </si>
  <si>
    <t xml:space="preserve">¿Requiere algún tipo de Licencia autorizada?
(Si requiere de varias, seleccione una en cada fila)   </t>
  </si>
  <si>
    <t xml:space="preserve">¿Requiere servicio de transporte?  </t>
  </si>
  <si>
    <t>Reemplazar proveedor actual</t>
  </si>
  <si>
    <t xml:space="preserve">¿Requiere inspección de calidad?  </t>
  </si>
  <si>
    <t>Poseer un almacén fiscal en Panamá (Buffer)</t>
  </si>
  <si>
    <t xml:space="preserve">Fecha estimada de inicio  </t>
  </si>
  <si>
    <t>Por confirmar (sujeto a adjudicación / embarque)</t>
  </si>
  <si>
    <t>Otro motivo</t>
  </si>
  <si>
    <t>dd/mm/yyyy</t>
  </si>
  <si>
    <t>Regional</t>
  </si>
  <si>
    <t xml:space="preserve">¿Requiere clasificación o segregación?  </t>
  </si>
  <si>
    <t>Ambos</t>
  </si>
  <si>
    <t>Ocup Max</t>
  </si>
  <si>
    <t>Descripción y detalles del Producto:
Ejemplo (Consumo, pharma, tecnología)</t>
  </si>
  <si>
    <t>Medicamentos genéricos sólidos orales (tabletas y cápsulas en blíster, caja x100). 10 SKUs del listado del Decreto Ejecutivo 16 de 2026, para suministro a MINSA/CSS: paracetamol 500 mg, omeprazol 20 mg, metformina 850 mg, lisinopril 20 mg, rosuvastatina 10 mg, clopidogrel 75 mg, levofloxacina 500 mg, claritromicina 500 mg, metronidazol 500 mg, prednisona 5 mg.</t>
  </si>
  <si>
    <t xml:space="preserve">Valor CIF/FOB U$D por embarque  </t>
  </si>
  <si>
    <t>≈ 20,000 (estimado; pendiente de cotización del proveedor)</t>
  </si>
  <si>
    <t>Ocup</t>
  </si>
  <si>
    <t>Ocup Actual</t>
  </si>
  <si>
    <t>Ingresos | Recepción</t>
  </si>
  <si>
    <t>Libre</t>
  </si>
  <si>
    <t>Disponible</t>
  </si>
  <si>
    <t>Localmente</t>
  </si>
  <si>
    <t>Panel</t>
  </si>
  <si>
    <t xml:space="preserve">País(es) desde donde proviene la mercancía:  </t>
  </si>
  <si>
    <t xml:space="preserve">Peso promedio por bulto:  </t>
  </si>
  <si>
    <t>≈ 500 kg por tarima (estimado)</t>
  </si>
  <si>
    <t xml:space="preserve">  Especificar entre: Lbs | Kg | Ton</t>
  </si>
  <si>
    <t>Camión 16'</t>
  </si>
  <si>
    <t>Camión 18'</t>
  </si>
  <si>
    <t xml:space="preserve">Modo de Transporte (Indicar si es FCL | LCL | N/A):   </t>
  </si>
  <si>
    <t xml:space="preserve">Dimensiones promedio por bulto:  </t>
  </si>
  <si>
    <t>120 x 100 x 160 cm (tarima estándar)</t>
  </si>
  <si>
    <t xml:space="preserve">  Largo x Ancho x Alto</t>
  </si>
  <si>
    <t>Camión 24'</t>
  </si>
  <si>
    <t>Camión 26'</t>
  </si>
  <si>
    <t xml:space="preserve">Promedio de embarques por mes:  </t>
  </si>
  <si>
    <t xml:space="preserve">Tamaño de equipo:  </t>
  </si>
  <si>
    <t>Contenedor 20'</t>
  </si>
  <si>
    <t>Contenedor 40'</t>
  </si>
  <si>
    <t xml:space="preserve">Cantidad SKU´s por recepción:  </t>
  </si>
  <si>
    <t xml:space="preserve">Tipo de estiba:  </t>
  </si>
  <si>
    <t>Contenedor 48'</t>
  </si>
  <si>
    <t>Contenedor 53'</t>
  </si>
  <si>
    <t xml:space="preserve">Cantidad de bultos (pallets, cajas, etc) promedio por embarque:  </t>
  </si>
  <si>
    <t xml:space="preserve">¿Producto sensible a humedad, luz o manejo especial?:  </t>
  </si>
  <si>
    <t>Sensible a humedad, luz y calor (no exceder 25 °C)</t>
  </si>
  <si>
    <t xml:space="preserve">  Especificar si es requerido</t>
  </si>
  <si>
    <t xml:space="preserve">Volumen m3 promedio:  </t>
  </si>
  <si>
    <t>≈ 10 m³ (5 tarimas)</t>
  </si>
  <si>
    <t>Almacenamiento</t>
  </si>
  <si>
    <t>Evento</t>
  </si>
  <si>
    <t>Simple</t>
  </si>
  <si>
    <t>Lotes</t>
  </si>
  <si>
    <t>Doble</t>
  </si>
  <si>
    <t>Vencimiento</t>
  </si>
  <si>
    <t xml:space="preserve">Volumen mensual promedio por pallets:  </t>
  </si>
  <si>
    <t xml:space="preserve">Tipo de estiba necesaria:  </t>
  </si>
  <si>
    <t>Otros</t>
  </si>
  <si>
    <t>Otras</t>
  </si>
  <si>
    <t>SKU</t>
  </si>
  <si>
    <t xml:space="preserve">Cantidad SKU´s a almacenar:  </t>
  </si>
  <si>
    <t xml:space="preserve">¿Requiere almacenamiento por?:  </t>
  </si>
  <si>
    <t>--&gt; ¿Otro? Especifique:</t>
  </si>
  <si>
    <t>Lote + vencimiento (FEFO)</t>
  </si>
  <si>
    <t>Preparación de Pedidos para Salida</t>
  </si>
  <si>
    <t>Picking unitario</t>
  </si>
  <si>
    <t>Cajas completas</t>
  </si>
  <si>
    <t xml:space="preserve">Órdenes mensuales promedio  </t>
  </si>
  <si>
    <t>2 a 4 (entregas a almacenes MINSA/CSS según contrato)</t>
  </si>
  <si>
    <t xml:space="preserve">Cantidad aproximada de bultos o unidades por pedido:  </t>
  </si>
  <si>
    <t>10 a 40 cajas</t>
  </si>
  <si>
    <t xml:space="preserve">Modo de Transporte:   </t>
  </si>
  <si>
    <t>Pallet completo</t>
  </si>
  <si>
    <t xml:space="preserve">SKU promedio por pedido  </t>
  </si>
  <si>
    <t xml:space="preserve">Tipo de preparación:  </t>
  </si>
  <si>
    <t xml:space="preserve">Tipo de movimiento de salida:  </t>
  </si>
  <si>
    <t xml:space="preserve">Valor CIF/FOB por salida  </t>
  </si>
  <si>
    <t xml:space="preserve">¿Requiere integración a sistemas?:  </t>
  </si>
  <si>
    <t>Actividades de Valor Agregado</t>
  </si>
  <si>
    <t>Seleccione los rubros que aplican para su(s) requerimiento(s)</t>
  </si>
  <si>
    <t xml:space="preserve">Marcaje Inkjet  </t>
  </si>
  <si>
    <t xml:space="preserve">Nombre del producto:  </t>
  </si>
  <si>
    <t>10 genéricos orales (ver descripción)</t>
  </si>
  <si>
    <t xml:space="preserve">Área a trabajar: Empaque PRIMARIO  </t>
  </si>
  <si>
    <t xml:space="preserve">Colocación de empaque secundario  </t>
  </si>
  <si>
    <t xml:space="preserve">Fraccionado  </t>
  </si>
  <si>
    <t xml:space="preserve">Componentes farmacéuticos del producto:  </t>
  </si>
  <si>
    <t>Paracetamol, omeprazol, metformina, lisinopril, rosuvastatina, clopidogrel, levofloxacina, claritromicina, metronidazol, prednisona</t>
  </si>
  <si>
    <t xml:space="preserve">Área a trabajar: Empaque SECUNDARIO   </t>
  </si>
  <si>
    <t xml:space="preserve">Colocación de sello(s) de seguridad  </t>
  </si>
  <si>
    <t xml:space="preserve">Termo encogidos  </t>
  </si>
  <si>
    <t xml:space="preserve">Cantidad de unidades:  </t>
  </si>
  <si>
    <t>≈ 925,000 tabletas/cápsulas</t>
  </si>
  <si>
    <t xml:space="preserve">Colocación de insertos  </t>
  </si>
  <si>
    <t xml:space="preserve">Preparación de combos o kits  </t>
  </si>
  <si>
    <t xml:space="preserve">¿El producto está nacionalizado?  </t>
  </si>
  <si>
    <t xml:space="preserve">Tipo de envasado del producto:  </t>
  </si>
  <si>
    <t>Blíster en caja x100, cajas máster paletizadas</t>
  </si>
  <si>
    <t xml:space="preserve">Remoción de insertos  </t>
  </si>
  <si>
    <t xml:space="preserve">Remoción de etiqueta  </t>
  </si>
  <si>
    <t xml:space="preserve">Valor del producto:  </t>
  </si>
  <si>
    <t>≈ USD 20,000 CIF (estimado)</t>
  </si>
  <si>
    <t xml:space="preserve">Reempaque  </t>
  </si>
  <si>
    <t xml:space="preserve">Colocación de etiqueta  </t>
  </si>
  <si>
    <t xml:space="preserve">¿El producto es un solo lote?  </t>
  </si>
  <si>
    <t xml:space="preserve">Servicio de Destrucción material acondicionado  </t>
  </si>
  <si>
    <t>Documentos IMPORTANTES que requerimos nos suministre para realizar propuesta tarifaria</t>
  </si>
  <si>
    <t xml:space="preserve">Catálogo o lista de SKUs  </t>
  </si>
  <si>
    <t xml:space="preserve">Fotos del producto  </t>
  </si>
  <si>
    <t xml:space="preserve">Otros datos de importancia:  </t>
  </si>
  <si>
    <t>Pedido inicial de 5 tarimas mixtas (media tarima por SKU), carga consolidada LCL (un solo ingreso). Mercancía de importación, aún no nacionalizada; registro sanitario ante la DNFD en trámite. Requiere almacén con licencia de Farmacia y Drogas, temperatura controlada 15–25 °C y control por lote/vencimiento. País de origen del proveedor por confirmar. Salidas parciales hacia MINSA/CSS en la medida de las adjudicaciones. Pesos, medidas y valor son estimados hasta recibir el packing list y la cotización del fabricante.</t>
  </si>
  <si>
    <t xml:space="preserve">Ficha técnica (MSDS)  </t>
  </si>
  <si>
    <t xml:space="preserve">Fotos del embalaje del producto  </t>
  </si>
  <si>
    <t>Marcaje</t>
  </si>
  <si>
    <t>Pegado de etiquetas</t>
  </si>
  <si>
    <t>Preparación de kits</t>
  </si>
  <si>
    <t>Required Information</t>
  </si>
  <si>
    <t>Reempaque</t>
  </si>
  <si>
    <t>Remoción de etiquetas</t>
  </si>
  <si>
    <t>Varios servicios</t>
  </si>
  <si>
    <t>OPERATING QUESTIONNAIRE</t>
  </si>
  <si>
    <t>Controlled</t>
  </si>
  <si>
    <t>Google</t>
  </si>
  <si>
    <t>Ambient / Dry</t>
  </si>
  <si>
    <t>Social Media</t>
  </si>
  <si>
    <t>Company Information</t>
  </si>
  <si>
    <t>Dry Heat (30°C to 37°C)</t>
  </si>
  <si>
    <t>Internal Reference</t>
  </si>
  <si>
    <t>Other</t>
  </si>
  <si>
    <t>External Reference</t>
  </si>
  <si>
    <t xml:space="preserve">Company Name  </t>
  </si>
  <si>
    <t xml:space="preserve">Country of Origin  </t>
  </si>
  <si>
    <t>Air</t>
  </si>
  <si>
    <t>Active Customer Referral</t>
  </si>
  <si>
    <t>Sea</t>
  </si>
  <si>
    <t>Website</t>
  </si>
  <si>
    <t xml:space="preserve">Contact Name  </t>
  </si>
  <si>
    <t xml:space="preserve">Website  </t>
  </si>
  <si>
    <t>Road</t>
  </si>
  <si>
    <t>Other → Specify</t>
  </si>
  <si>
    <t xml:space="preserve">Job Title / Position  </t>
  </si>
  <si>
    <t xml:space="preserve">E-mail  </t>
  </si>
  <si>
    <t>Food</t>
  </si>
  <si>
    <t xml:space="preserve">Phone Number  </t>
  </si>
  <si>
    <t xml:space="preserve">How did you hear about us?  </t>
  </si>
  <si>
    <t>Cosmetics</t>
  </si>
  <si>
    <t>Pharmacies &amp; Drugs</t>
  </si>
  <si>
    <t>Product Information and others</t>
  </si>
  <si>
    <t>Manufacturing</t>
  </si>
  <si>
    <t>THE PRODUCT</t>
  </si>
  <si>
    <t>Main Reason for Seeking a 3PL:</t>
  </si>
  <si>
    <t>Special Characteristics:</t>
  </si>
  <si>
    <t>Yes</t>
  </si>
  <si>
    <t>Bulk</t>
  </si>
  <si>
    <t xml:space="preserve">Temperature Type  </t>
  </si>
  <si>
    <t xml:space="preserve">Will your product be marketed locally?  </t>
  </si>
  <si>
    <t>Palletized</t>
  </si>
  <si>
    <t>Improve service levels</t>
  </si>
  <si>
    <t xml:space="preserve">Special Handling  </t>
  </si>
  <si>
    <t xml:space="preserve">Temperature  </t>
  </si>
  <si>
    <t>Expand regional operation</t>
  </si>
  <si>
    <t xml:space="preserve">Other  </t>
  </si>
  <si>
    <t xml:space="preserve">----&gt;  Specify:  </t>
  </si>
  <si>
    <t>Start a new operation</t>
  </si>
  <si>
    <t xml:space="preserve">Does your product require any authorized license?
(If multiple apply, select one per row)   </t>
  </si>
  <si>
    <t xml:space="preserve">Does it require transportation service?  </t>
  </si>
  <si>
    <t>Replace current provider</t>
  </si>
  <si>
    <t xml:space="preserve">Does it require quality inspection?  </t>
  </si>
  <si>
    <t>Maintain a bonded warehouse in Panama (Buffer)</t>
  </si>
  <si>
    <t xml:space="preserve">Estimated Start Date  </t>
  </si>
  <si>
    <t>Other reason</t>
  </si>
  <si>
    <t xml:space="preserve">Is classification or segregation required?  </t>
  </si>
  <si>
    <t>Both</t>
  </si>
  <si>
    <t>Product Description and Details:
Example (Consumer goods, pharma, technology)</t>
  </si>
  <si>
    <t xml:space="preserve">CIF/FOB Value per Shipment (USD)  </t>
  </si>
  <si>
    <t>INBOUND | RECEIVING</t>
  </si>
  <si>
    <t xml:space="preserve">Locally </t>
  </si>
  <si>
    <t xml:space="preserve">Country/Countries from which the merchandise originates:  </t>
  </si>
  <si>
    <t xml:space="preserve">Average weight per package:  </t>
  </si>
  <si>
    <t xml:space="preserve"> Specify in: Lbs | Kg | Ton</t>
  </si>
  <si>
    <t>16’ Truck</t>
  </si>
  <si>
    <t>18’ Truck</t>
  </si>
  <si>
    <t xml:space="preserve"> Mode of Transport (Indicate if FCL | LCL | N/A):   </t>
  </si>
  <si>
    <t xml:space="preserve">Average dimensions per package:  </t>
  </si>
  <si>
    <t xml:space="preserve"> Length × Width × Height</t>
  </si>
  <si>
    <t>24’ Truck</t>
  </si>
  <si>
    <t>26’ Truck</t>
  </si>
  <si>
    <t xml:space="preserve">Average monthly shipments:  </t>
  </si>
  <si>
    <t xml:space="preserve">Equipment size:  </t>
  </si>
  <si>
    <t>20’ Container</t>
  </si>
  <si>
    <t>40’ Container</t>
  </si>
  <si>
    <t xml:space="preserve">Number of SKUs per receipt:  </t>
  </si>
  <si>
    <t>Type of stowage:</t>
  </si>
  <si>
    <t>48’ Container</t>
  </si>
  <si>
    <t>53’ Container</t>
  </si>
  <si>
    <t xml:space="preserve">Average number of packages (pallets, boxes, etc.) per shipment:  </t>
  </si>
  <si>
    <t xml:space="preserve">Is the product sensitive to humidity, light, or special handling?:  </t>
  </si>
  <si>
    <t xml:space="preserve">Average volume (m³):  </t>
  </si>
  <si>
    <t>STORAGE</t>
  </si>
  <si>
    <t>Event</t>
  </si>
  <si>
    <t>Single</t>
  </si>
  <si>
    <t>Lots</t>
  </si>
  <si>
    <t>Others</t>
  </si>
  <si>
    <t>Double</t>
  </si>
  <si>
    <t>Expiration Date</t>
  </si>
  <si>
    <t xml:space="preserve">Average monthly volume in pallets:  </t>
  </si>
  <si>
    <t xml:space="preserve">Required stowage type:  </t>
  </si>
  <si>
    <t xml:space="preserve">Total SKUs to store:  </t>
  </si>
  <si>
    <t xml:space="preserve">Is storage required by:  </t>
  </si>
  <si>
    <t>ORDER PREPARATION FOR OUTBOUND</t>
  </si>
  <si>
    <t>Unit picking</t>
  </si>
  <si>
    <t>Full cases</t>
  </si>
  <si>
    <t xml:space="preserve">Average monthly orders:  </t>
  </si>
  <si>
    <t xml:space="preserve">Approximate number of packages or units per order:  </t>
  </si>
  <si>
    <t xml:space="preserve">Mode of Transport:   </t>
  </si>
  <si>
    <t>Full pallet</t>
  </si>
  <si>
    <t xml:space="preserve">Average SKUs per order:  </t>
  </si>
  <si>
    <t xml:space="preserve">Preparation type:  </t>
  </si>
  <si>
    <t xml:space="preserve">Outbound movement type:  </t>
  </si>
  <si>
    <t xml:space="preserve">CIF/FOB value per outbound:  </t>
  </si>
  <si>
    <t xml:space="preserve">Requires system integration?:  </t>
  </si>
  <si>
    <t>VALUE-ADDED ACTIVITIES</t>
  </si>
  <si>
    <t>Select the items that apply to your requirement(s)</t>
  </si>
  <si>
    <t xml:space="preserve">Inkjet Marking:  </t>
  </si>
  <si>
    <t xml:space="preserve">Product Name:  </t>
  </si>
  <si>
    <t xml:space="preserve">Work Area: PRIMARY Packaging  </t>
  </si>
  <si>
    <t xml:space="preserve">Secondary packaging placement  </t>
  </si>
  <si>
    <t xml:space="preserve">Fractioning / Breaking bulk:  </t>
  </si>
  <si>
    <t xml:space="preserve">Pharmaceutical components of the product:  </t>
  </si>
  <si>
    <t xml:space="preserve">Work Area: SECUNDARY Packaging    </t>
  </si>
  <si>
    <t xml:space="preserve">Security seal placement  </t>
  </si>
  <si>
    <t xml:space="preserve">Shrink wrapping:  </t>
  </si>
  <si>
    <t xml:space="preserve">Number of units:  </t>
  </si>
  <si>
    <t xml:space="preserve">Insert placement:  </t>
  </si>
  <si>
    <t xml:space="preserve">Combo or kit preparation:  </t>
  </si>
  <si>
    <t xml:space="preserve">Is the product nationalized?  </t>
  </si>
  <si>
    <t xml:space="preserve">Product packaging type:  </t>
  </si>
  <si>
    <t xml:space="preserve">Inserts removal:  </t>
  </si>
  <si>
    <t xml:space="preserve">Label removal:  </t>
  </si>
  <si>
    <t xml:space="preserve">Product value:  </t>
  </si>
  <si>
    <t xml:space="preserve">Repackaging:  </t>
  </si>
  <si>
    <t xml:space="preserve">Label application:  </t>
  </si>
  <si>
    <t xml:space="preserve">Is the product a single lot?  </t>
  </si>
  <si>
    <t xml:space="preserve">Conditioned material destruction service:  </t>
  </si>
  <si>
    <t>IMPORTANT DOCUMENTS we require you to provide in order to prepare a pricing proposal</t>
  </si>
  <si>
    <t xml:space="preserve">Catalog or list of SKUs  </t>
  </si>
  <si>
    <t xml:space="preserve">Product photos  </t>
  </si>
  <si>
    <t xml:space="preserve">Other relevant information:  </t>
  </si>
  <si>
    <t xml:space="preserve">Technical data sheet (MSDS)  </t>
  </si>
  <si>
    <t xml:space="preserve">Product packaging photos  </t>
  </si>
  <si>
    <t>Marking</t>
  </si>
  <si>
    <t>Label application</t>
  </si>
  <si>
    <t>Kit preparation</t>
  </si>
  <si>
    <t>Repackaging</t>
  </si>
  <si>
    <t>Label removal</t>
  </si>
  <si>
    <t>Various services</t>
  </si>
  <si>
    <t>Zywie Worldwide</t>
  </si>
  <si>
    <t>Francisco Aparicio</t>
  </si>
  <si>
    <t>6229-6880</t>
  </si>
  <si>
    <t>Correo</t>
  </si>
  <si>
    <t>aparicio271@gmail.com</t>
  </si>
  <si>
    <t>Zywie Worldwide Panama, S.A. (en constitución)</t>
  </si>
  <si>
    <t>Por confirmar</t>
  </si>
  <si>
    <t>India</t>
  </si>
  <si>
    <t>≈ 250 kg por tarima</t>
  </si>
  <si>
    <t>120 x 100 x 150 cm máx.</t>
  </si>
  <si>
    <t>&lt; 1 (2–4 al año)</t>
  </si>
  <si>
    <t>5 tarimas</t>
  </si>
  <si>
    <t>≈ 9 m³ (5 tarimas)</t>
  </si>
  <si>
    <t>3–5 (pico: 10)</t>
  </si>
  <si>
    <t>5 a 20 cajas máster</t>
  </si>
  <si>
    <t>≈ USD 2,000–5,000</t>
  </si>
  <si>
    <t>2 a 4</t>
  </si>
  <si>
    <t>Medicamentos genéricos sólidos orales (tabletas y cápsulas en blíster, caja x100). 10 SKUs del listado del Decreto Ejecutivo 16 de 2026, para suministro a MINSA/CSS: paracetamol 500 mg, omeprazol 20 mg, metformina 850 mg, lisinopril 20 mg, rosuvastatina 10 mg, clopidogrel 75 mg, levofloxacina 500 mg, claritromicina 500 mg, metronidazol 500 mg, prednisona o prednisolona 5 mg. Lista final sujeta a confirmación del fabricante.</t>
  </si>
  <si>
    <t>Paracetamol, omeprazol, metformina, lisinopril, rosuvastatina, clopidogrel, levofloxacina, claritromicina, metronidazol, prednisona o prednisolona</t>
  </si>
  <si>
    <t>Distribuidor local: S.A. panameña en constitución que tramitará su licencia DNFD. Origen: India. El inventario comercial entrará nacionalizado tras aprobarse el registro sanitario; antes, solo muestras. Ingreso inicial: 5 tarimas mixtas (≈ 50–80 cajas máster, máx. 150 cm), carga LCL; luego 2 a 4 embarques al año. Salidas en cajas completas a almacenes y hospitales del MINSA y la CSS. Etiquetado: solo la etiqueta del distribuidor que exige la ley e inkjet de lote, vencimiento o registro si hace falta. Pesos y medidas estimados hasta tener el packing 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</si>
</sst>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20" x14ac:knownFonts="1">
    <font>
      <sz val="11"/>
      <color theme="1"/>
      <name val="Calibri"/>
      <family val="2"/>
      <charset val="1"/>
    </font>
    <font>
      <sz val="11"/>
      <color theme="4" tint="-0.249977111117893"/>
      <name val="Calibri"/>
      <family val="2"/>
      <charset val="1"/>
    </font>
    <font>
      <b/>
      <sz val="48"/>
      <color theme="4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20"/>
      <color theme="4" tint="-0.249977111117893"/>
      <name val="Calibri"/>
      <family val="2"/>
      <charset val="1"/>
    </font>
    <font>
      <b/>
      <sz val="20"/>
      <color theme="0"/>
      <name val="Calibri"/>
      <family val="2"/>
      <charset val="1"/>
    </font>
    <font>
      <sz val="10.5"/>
      <color theme="4" tint="-0.249977111117893"/>
      <name val="Calibri"/>
      <family val="2"/>
      <charset val="1"/>
    </font>
    <font>
      <b/>
      <sz val="18"/>
      <color theme="4" tint="-0.249977111117893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b/>
      <sz val="11"/>
      <color theme="8"/>
      <name val="Calibri"/>
      <family val="2"/>
      <charset val="1"/>
    </font>
    <font>
      <sz val="12"/>
      <color theme="4" tint="-0.249977111117893"/>
      <name val="Calibri"/>
      <family val="2"/>
      <charset val="1"/>
    </font>
    <font>
      <sz val="8"/>
      <color theme="4" tint="-0.249977111117893"/>
      <name val="Calibri"/>
      <family val="2"/>
      <charset val="1"/>
    </font>
    <font>
      <i/>
      <sz val="9"/>
      <color theme="4" tint="-0.249977111117893"/>
      <name val="Calibri"/>
      <family val="2"/>
      <charset val="1"/>
    </font>
    <font>
      <b/>
      <sz val="14"/>
      <color theme="4" tint="-0.249977111117893"/>
      <name val="Calibri"/>
      <family val="2"/>
      <charset val="1"/>
    </font>
    <font>
      <b/>
      <sz val="18"/>
      <color theme="5"/>
      <name val="Calibri"/>
      <family val="2"/>
      <charset val="1"/>
    </font>
    <font>
      <b/>
      <i/>
      <sz val="11"/>
      <color theme="8"/>
      <name val="Calibri"/>
      <family val="2"/>
      <charset val="1"/>
    </font>
    <font>
      <i/>
      <sz val="10"/>
      <color theme="4" tint="-0.249977111117893"/>
      <name val="Calibri"/>
      <family val="2"/>
      <charset val="1"/>
    </font>
    <font>
      <sz val="10"/>
      <color theme="4" tint="-0.249977111117893"/>
      <name val="Calibri"/>
      <family val="2"/>
      <charset val="1"/>
    </font>
    <font>
      <b/>
      <i/>
      <sz val="12"/>
      <color theme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3"/>
        <bgColor rgb="FF2F5597"/>
      </patternFill>
    </fill>
    <fill>
      <patternFill patternType="solid">
        <fgColor theme="0" tint="-4.9989318521683403E-2"/>
        <bgColor rgb="FFFFFFFF"/>
      </patternFill>
    </fill>
    <fill>
      <patternFill patternType="solid">
        <fgColor theme="1"/>
        <bgColor rgb="FF003300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72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2" xfId="0" applyBorder="1" applyAlignment="1">
      <alignment vertical="center"/>
    </xf>
    <xf numFmtId="164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/>
    </xf>
    <xf numFmtId="0" fontId="1" fillId="0" borderId="5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" fillId="0" borderId="14" xfId="0" applyFont="1" applyBorder="1" applyAlignment="1">
      <alignment vertical="center"/>
    </xf>
    <xf numFmtId="0" fontId="9" fillId="0" borderId="5" xfId="0" applyFont="1" applyBorder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9" fillId="0" borderId="0" xfId="0" applyFont="1" applyAlignment="1">
      <alignment horizontal="right" vertical="center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6" xfId="0" applyFont="1" applyBorder="1" applyAlignment="1">
      <alignment vertical="center" wrapText="1"/>
    </xf>
    <xf numFmtId="0" fontId="1" fillId="3" borderId="0" xfId="0" applyFont="1" applyFill="1" applyAlignment="1">
      <alignment horizontal="left" vertical="center" wrapText="1"/>
    </xf>
    <xf numFmtId="0" fontId="1" fillId="3" borderId="6" xfId="0" applyFont="1" applyFill="1" applyBorder="1" applyAlignment="1">
      <alignment vertical="center" wrapText="1"/>
    </xf>
    <xf numFmtId="0" fontId="0" fillId="0" borderId="14" xfId="0" applyBorder="1" applyAlignment="1">
      <alignment vertical="center"/>
    </xf>
    <xf numFmtId="14" fontId="10" fillId="0" borderId="6" xfId="0" applyNumberFormat="1" applyFont="1" applyBorder="1" applyAlignment="1">
      <alignment vertical="center" wrapText="1"/>
    </xf>
    <xf numFmtId="0" fontId="1" fillId="0" borderId="14" xfId="0" applyFont="1" applyBorder="1" applyAlignment="1">
      <alignment horizontal="right" vertical="center"/>
    </xf>
    <xf numFmtId="0" fontId="11" fillId="0" borderId="0" xfId="0" applyFont="1" applyAlignment="1">
      <alignment horizontal="center" vertical="top" wrapText="1"/>
    </xf>
    <xf numFmtId="9" fontId="0" fillId="0" borderId="0" xfId="0" applyNumberFormat="1" applyAlignment="1">
      <alignment vertical="center"/>
    </xf>
    <xf numFmtId="164" fontId="0" fillId="0" borderId="0" xfId="0" applyNumberFormat="1" applyAlignment="1">
      <alignment horizontal="left" vertical="center"/>
    </xf>
    <xf numFmtId="0" fontId="1" fillId="0" borderId="5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 wrapText="1"/>
    </xf>
    <xf numFmtId="0" fontId="1" fillId="0" borderId="5" xfId="0" applyFont="1" applyBorder="1" applyAlignment="1">
      <alignment horizontal="left" vertical="center"/>
    </xf>
    <xf numFmtId="0" fontId="1" fillId="0" borderId="5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14" fillId="0" borderId="5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6" xfId="0" applyFont="1" applyBorder="1" applyAlignment="1">
      <alignment vertical="center" wrapText="1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5" fillId="2" borderId="1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9" fillId="0" borderId="6" xfId="1" applyBorder="1" applyAlignment="1">
      <alignment horizontal="left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2D050"/>
      <rgbColor rgb="FFFFCC00"/>
      <rgbColor rgb="FFFF9900"/>
      <rgbColor rgb="FFED7D31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0</xdr:row>
      <xdr:rowOff>0</xdr:rowOff>
    </xdr:from>
    <xdr:to>
      <xdr:col>15</xdr:col>
      <xdr:colOff>876240</xdr:colOff>
      <xdr:row>1</xdr:row>
      <xdr:rowOff>96120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692800" y="0"/>
          <a:ext cx="3209400" cy="89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228600</xdr:colOff>
      <xdr:row>0</xdr:row>
      <xdr:rowOff>0</xdr:rowOff>
    </xdr:from>
    <xdr:to>
      <xdr:col>15</xdr:col>
      <xdr:colOff>781560</xdr:colOff>
      <xdr:row>1</xdr:row>
      <xdr:rowOff>92160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2800" y="0"/>
          <a:ext cx="3302640" cy="892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aparicio271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546A"/>
  </sheetPr>
  <dimension ref="A1:CA97"/>
  <sheetViews>
    <sheetView showGridLines="0" tabSelected="1" zoomScale="85" zoomScaleNormal="85" workbookViewId="0">
      <selection activeCell="H10" sqref="H10"/>
    </sheetView>
  </sheetViews>
  <sheetFormatPr defaultColWidth="9.08984375" defaultRowHeight="14.5" x14ac:dyDescent="0.35"/>
  <cols>
    <col min="1" max="1" width="35.6328125" style="3" customWidth="1"/>
    <col min="2" max="2" width="3.453125" style="3" customWidth="1"/>
    <col min="3" max="3" width="1" style="3" customWidth="1"/>
    <col min="4" max="4" width="19.36328125" style="3" customWidth="1"/>
    <col min="5" max="5" width="19.90625" style="3" customWidth="1"/>
    <col min="6" max="6" width="7.36328125" style="3" customWidth="1"/>
    <col min="7" max="7" width="3.453125" style="3" customWidth="1"/>
    <col min="8" max="8" width="25.6328125" style="3" customWidth="1"/>
    <col min="9" max="9" width="18.453125" style="3" customWidth="1"/>
    <col min="10" max="10" width="3.453125" style="3" customWidth="1"/>
    <col min="11" max="11" width="25" style="3" customWidth="1"/>
    <col min="12" max="12" width="18.54296875" style="3" customWidth="1"/>
    <col min="13" max="14" width="3.54296875" style="3" customWidth="1"/>
    <col min="15" max="15" width="10.6328125" style="3" customWidth="1"/>
    <col min="16" max="16" width="13.36328125" style="3" customWidth="1"/>
    <col min="17" max="17" width="2.6328125" style="4" customWidth="1"/>
    <col min="18" max="71" width="9.08984375" style="4"/>
    <col min="72" max="79" width="9.08984375" style="5"/>
    <col min="80" max="16384" width="9.08984375" style="4"/>
  </cols>
  <sheetData>
    <row r="1" spans="1:77" ht="63" customHeight="1" x14ac:dyDescent="0.35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"/>
      <c r="BV1" s="5" t="s">
        <v>1</v>
      </c>
      <c r="BW1" s="5" t="s">
        <v>2</v>
      </c>
      <c r="BX1" s="5" t="s">
        <v>3</v>
      </c>
      <c r="BY1" s="7"/>
    </row>
    <row r="2" spans="1:77" ht="11.2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BV2" s="5" t="s">
        <v>4</v>
      </c>
      <c r="BW2" s="5" t="s">
        <v>5</v>
      </c>
      <c r="BX2" s="5" t="s">
        <v>6</v>
      </c>
      <c r="BY2" s="7" t="s">
        <v>7</v>
      </c>
    </row>
    <row r="3" spans="1:77" ht="26.25" customHeight="1" x14ac:dyDescent="0.35">
      <c r="A3" s="68" t="s">
        <v>8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BW3" s="5" t="s">
        <v>9</v>
      </c>
      <c r="BX3" s="5" t="s">
        <v>10</v>
      </c>
      <c r="BY3" s="7" t="s">
        <v>11</v>
      </c>
    </row>
    <row r="4" spans="1:77" ht="4.5" customHeight="1" x14ac:dyDescent="0.35">
      <c r="A4" s="10"/>
      <c r="B4" s="11"/>
      <c r="C4" s="11"/>
      <c r="D4" s="12"/>
      <c r="E4" s="11"/>
      <c r="F4" s="4"/>
      <c r="G4" s="4"/>
      <c r="H4" s="4"/>
      <c r="I4" s="4"/>
      <c r="J4" s="4"/>
      <c r="K4" s="13"/>
      <c r="L4" s="4"/>
      <c r="M4" s="4"/>
      <c r="N4" s="4"/>
      <c r="O4" s="4"/>
      <c r="Q4" s="9"/>
      <c r="BW4" s="5" t="s">
        <v>12</v>
      </c>
      <c r="BX4" s="5" t="s">
        <v>13</v>
      </c>
      <c r="BY4" s="5" t="s">
        <v>14</v>
      </c>
    </row>
    <row r="5" spans="1:77" ht="19.5" customHeight="1" x14ac:dyDescent="0.35">
      <c r="A5" s="14" t="s">
        <v>15</v>
      </c>
      <c r="B5" s="65" t="s">
        <v>319</v>
      </c>
      <c r="C5" s="65"/>
      <c r="D5" s="65"/>
      <c r="E5" s="65"/>
      <c r="F5" s="4"/>
      <c r="G5" s="4"/>
      <c r="H5" s="4"/>
      <c r="J5" s="13" t="s">
        <v>317</v>
      </c>
      <c r="K5" s="69" t="s">
        <v>318</v>
      </c>
      <c r="L5" s="65"/>
      <c r="M5" s="12"/>
      <c r="N5" s="12"/>
      <c r="O5" s="8"/>
      <c r="P5" s="8"/>
      <c r="Q5" s="9"/>
      <c r="BV5" s="5" t="s">
        <v>16</v>
      </c>
      <c r="BX5" s="5" t="s">
        <v>17</v>
      </c>
    </row>
    <row r="6" spans="1:77" ht="4.5" customHeight="1" x14ac:dyDescent="0.35">
      <c r="A6" s="10"/>
      <c r="B6" s="11"/>
      <c r="C6" s="11"/>
      <c r="D6" s="12"/>
      <c r="E6" s="11"/>
      <c r="F6" s="4"/>
      <c r="G6" s="4"/>
      <c r="H6" s="4"/>
      <c r="J6" s="4"/>
      <c r="K6" s="13"/>
      <c r="L6" s="4"/>
      <c r="M6" s="4"/>
      <c r="N6" s="4"/>
      <c r="O6" s="4"/>
      <c r="Q6" s="9"/>
      <c r="BV6" s="5" t="s">
        <v>18</v>
      </c>
      <c r="BX6" s="5" t="s">
        <v>19</v>
      </c>
    </row>
    <row r="7" spans="1:77" ht="19.5" customHeight="1" x14ac:dyDescent="0.35">
      <c r="A7" s="14" t="s">
        <v>20</v>
      </c>
      <c r="B7" s="65" t="s">
        <v>315</v>
      </c>
      <c r="C7" s="65"/>
      <c r="D7" s="65"/>
      <c r="E7" s="65"/>
      <c r="F7" s="4"/>
      <c r="G7" s="4"/>
      <c r="H7" s="4"/>
      <c r="J7" s="13"/>
      <c r="K7" s="65"/>
      <c r="L7" s="65"/>
      <c r="M7" s="12"/>
      <c r="N7" s="12"/>
      <c r="O7" s="8"/>
      <c r="P7" s="8"/>
      <c r="Q7" s="9"/>
      <c r="BV7" s="5" t="s">
        <v>21</v>
      </c>
      <c r="BX7" s="5" t="s">
        <v>12</v>
      </c>
    </row>
    <row r="8" spans="1:77" ht="4.5" customHeight="1" x14ac:dyDescent="0.35">
      <c r="A8" s="10"/>
      <c r="B8" s="11"/>
      <c r="C8" s="11"/>
      <c r="D8" s="12"/>
      <c r="E8" s="11"/>
      <c r="F8" s="4"/>
      <c r="G8" s="4"/>
      <c r="H8" s="4"/>
      <c r="J8" s="4"/>
      <c r="K8" s="13"/>
      <c r="L8" s="4"/>
      <c r="M8" s="4"/>
      <c r="N8" s="4"/>
      <c r="O8" s="4"/>
      <c r="Q8" s="9"/>
      <c r="BV8" s="4"/>
    </row>
    <row r="9" spans="1:77" ht="19.5" customHeight="1" x14ac:dyDescent="0.35">
      <c r="A9" s="14" t="s">
        <v>22</v>
      </c>
      <c r="B9" s="65" t="s">
        <v>23</v>
      </c>
      <c r="C9" s="65"/>
      <c r="D9" s="65"/>
      <c r="E9" s="65"/>
      <c r="F9" s="4"/>
      <c r="G9" s="4"/>
      <c r="H9" s="4"/>
      <c r="J9" s="13"/>
      <c r="K9" s="65"/>
      <c r="L9" s="65"/>
      <c r="M9" s="12"/>
      <c r="N9" s="12"/>
      <c r="O9" s="8"/>
      <c r="P9" s="8"/>
      <c r="Q9" s="9"/>
      <c r="BW9" s="5" t="s">
        <v>24</v>
      </c>
      <c r="BY9" s="7" t="s">
        <v>25</v>
      </c>
    </row>
    <row r="10" spans="1:77" ht="4.5" customHeight="1" x14ac:dyDescent="0.35">
      <c r="A10" s="10"/>
      <c r="B10" s="11"/>
      <c r="C10" s="11"/>
      <c r="D10" s="12"/>
      <c r="E10" s="11"/>
      <c r="F10" s="4"/>
      <c r="G10" s="4"/>
      <c r="H10" s="4"/>
      <c r="J10" s="4"/>
      <c r="K10" s="13"/>
      <c r="L10" s="4"/>
      <c r="M10" s="4"/>
      <c r="N10" s="4"/>
      <c r="O10" s="4"/>
      <c r="Q10" s="9"/>
      <c r="BW10" s="5" t="s">
        <v>26</v>
      </c>
      <c r="BY10" s="7" t="s">
        <v>27</v>
      </c>
    </row>
    <row r="11" spans="1:77" ht="19.5" customHeight="1" x14ac:dyDescent="0.35">
      <c r="A11" s="14" t="s">
        <v>28</v>
      </c>
      <c r="B11" s="65" t="s">
        <v>316</v>
      </c>
      <c r="C11" s="65"/>
      <c r="D11" s="65"/>
      <c r="E11" s="65"/>
      <c r="F11" s="12"/>
      <c r="G11" s="12"/>
      <c r="H11" s="8"/>
      <c r="J11" s="13"/>
      <c r="K11" s="65"/>
      <c r="L11" s="65"/>
      <c r="M11" s="12"/>
      <c r="N11" s="12"/>
      <c r="O11" s="15" t="s">
        <v>29</v>
      </c>
      <c r="P11" s="16"/>
      <c r="Q11" s="17"/>
      <c r="BY11" s="5" t="s">
        <v>30</v>
      </c>
    </row>
    <row r="12" spans="1:77" ht="6" customHeight="1" x14ac:dyDescent="0.3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BY12" s="5" t="s">
        <v>31</v>
      </c>
    </row>
    <row r="13" spans="1:77" ht="6" customHeight="1" x14ac:dyDescent="0.35">
      <c r="A13" s="21"/>
      <c r="B13" s="22"/>
      <c r="C13" s="22"/>
      <c r="D13" s="22"/>
      <c r="E13" s="23"/>
      <c r="F13" s="23"/>
      <c r="G13" s="23"/>
      <c r="H13" s="22"/>
      <c r="I13" s="22"/>
      <c r="J13" s="22"/>
      <c r="K13" s="22"/>
      <c r="L13" s="22"/>
      <c r="M13" s="22"/>
      <c r="N13" s="22"/>
      <c r="O13" s="22"/>
      <c r="P13" s="22"/>
      <c r="Q13" s="6"/>
      <c r="BY13" s="7" t="s">
        <v>32</v>
      </c>
    </row>
    <row r="14" spans="1:77" ht="26.25" customHeight="1" x14ac:dyDescent="0.35">
      <c r="A14" s="66" t="s">
        <v>33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BY14" s="5" t="s">
        <v>34</v>
      </c>
    </row>
    <row r="15" spans="1:77" ht="4.5" customHeight="1" x14ac:dyDescent="0.35">
      <c r="A15" s="10"/>
      <c r="B15" s="4"/>
      <c r="C15" s="11"/>
      <c r="D15" s="11"/>
      <c r="E15" s="11"/>
      <c r="I15" s="4"/>
      <c r="J15" s="13"/>
      <c r="K15" s="24"/>
      <c r="Q15" s="9"/>
      <c r="BY15" s="5" t="s">
        <v>35</v>
      </c>
    </row>
    <row r="16" spans="1:77" ht="23.25" customHeight="1" x14ac:dyDescent="0.35">
      <c r="A16" s="25" t="s">
        <v>36</v>
      </c>
      <c r="B16" s="26"/>
      <c r="C16" s="26"/>
      <c r="D16" s="26"/>
      <c r="G16" s="27"/>
      <c r="Q16" s="9"/>
      <c r="BY16" s="5" t="s">
        <v>12</v>
      </c>
    </row>
    <row r="17" spans="1:76" ht="4.5" customHeight="1" x14ac:dyDescent="0.35">
      <c r="A17" s="10"/>
      <c r="B17" s="4"/>
      <c r="C17" s="11"/>
      <c r="D17" s="11"/>
      <c r="E17" s="11"/>
      <c r="G17" s="27"/>
      <c r="I17" s="4"/>
      <c r="J17" s="13"/>
      <c r="K17" s="24"/>
      <c r="Q17" s="9"/>
    </row>
    <row r="18" spans="1:76" x14ac:dyDescent="0.35">
      <c r="A18" s="28" t="s">
        <v>37</v>
      </c>
      <c r="B18" s="29"/>
      <c r="C18" s="29"/>
      <c r="D18" s="29"/>
      <c r="E18" s="29"/>
      <c r="F18" s="29"/>
      <c r="G18" s="30"/>
      <c r="H18" s="31" t="s">
        <v>38</v>
      </c>
      <c r="J18" s="31"/>
      <c r="Q18" s="9"/>
      <c r="BV18" s="5" t="s">
        <v>39</v>
      </c>
      <c r="BX18" s="5" t="s">
        <v>40</v>
      </c>
    </row>
    <row r="19" spans="1:76" ht="19.5" customHeight="1" x14ac:dyDescent="0.35">
      <c r="A19" s="10"/>
      <c r="B19" s="1"/>
      <c r="C19" s="11"/>
      <c r="D19" s="12" t="s">
        <v>42</v>
      </c>
      <c r="E19" s="11"/>
      <c r="F19" s="11"/>
      <c r="G19" s="32"/>
      <c r="H19" s="4"/>
      <c r="I19" s="4"/>
      <c r="J19" s="13" t="s">
        <v>43</v>
      </c>
      <c r="K19" s="33" t="s">
        <v>1</v>
      </c>
      <c r="L19" s="4"/>
      <c r="M19" s="4"/>
      <c r="N19" s="4"/>
      <c r="O19" s="13" t="s">
        <v>44</v>
      </c>
      <c r="P19" s="34" t="s">
        <v>45</v>
      </c>
      <c r="Q19" s="9"/>
      <c r="BV19" s="5" t="s">
        <v>46</v>
      </c>
      <c r="BX19" s="5" t="s">
        <v>47</v>
      </c>
    </row>
    <row r="20" spans="1:76" ht="4.5" customHeight="1" x14ac:dyDescent="0.35">
      <c r="A20" s="10"/>
      <c r="B20" s="11"/>
      <c r="C20" s="11"/>
      <c r="D20" s="12"/>
      <c r="E20" s="11"/>
      <c r="F20" s="11"/>
      <c r="G20" s="32"/>
      <c r="H20" s="4"/>
      <c r="I20" s="4"/>
      <c r="J20" s="4"/>
      <c r="K20" s="13"/>
      <c r="L20" s="4"/>
      <c r="M20" s="4"/>
      <c r="N20" s="4"/>
      <c r="O20" s="4"/>
      <c r="Q20" s="9"/>
      <c r="BX20" s="5" t="s">
        <v>48</v>
      </c>
    </row>
    <row r="21" spans="1:76" ht="19.5" customHeight="1" x14ac:dyDescent="0.35">
      <c r="A21" s="10"/>
      <c r="B21" s="1"/>
      <c r="C21" s="11"/>
      <c r="D21" s="35" t="s">
        <v>49</v>
      </c>
      <c r="E21" s="11"/>
      <c r="F21" s="11"/>
      <c r="G21" s="32"/>
      <c r="H21" s="4"/>
      <c r="I21" s="4"/>
      <c r="J21" s="13" t="s">
        <v>50</v>
      </c>
      <c r="K21" s="36" t="s">
        <v>51</v>
      </c>
      <c r="L21" s="4"/>
      <c r="M21" s="4"/>
      <c r="N21" s="4"/>
      <c r="O21" s="13" t="s">
        <v>52</v>
      </c>
      <c r="P21" s="36" t="s">
        <v>2</v>
      </c>
      <c r="Q21" s="9"/>
    </row>
    <row r="22" spans="1:76" ht="4.5" customHeight="1" x14ac:dyDescent="0.35">
      <c r="A22" s="10"/>
      <c r="B22" s="11"/>
      <c r="C22" s="11"/>
      <c r="D22" s="12"/>
      <c r="E22" s="11"/>
      <c r="F22" s="11"/>
      <c r="G22" s="32"/>
      <c r="H22" s="11"/>
      <c r="I22" s="4"/>
      <c r="J22" s="11"/>
      <c r="L22" s="4"/>
      <c r="M22" s="4"/>
      <c r="N22" s="4"/>
      <c r="Q22" s="9"/>
    </row>
    <row r="23" spans="1:76" ht="19.5" customHeight="1" x14ac:dyDescent="0.35">
      <c r="A23" s="10"/>
      <c r="B23" s="1"/>
      <c r="C23" s="11"/>
      <c r="D23" s="35" t="s">
        <v>53</v>
      </c>
      <c r="E23" s="11"/>
      <c r="F23" s="11"/>
      <c r="G23" s="32"/>
      <c r="H23" s="4"/>
      <c r="I23" s="4"/>
      <c r="J23" s="13" t="s">
        <v>54</v>
      </c>
      <c r="K23" s="36"/>
      <c r="L23" s="13" t="s">
        <v>55</v>
      </c>
      <c r="M23" s="16"/>
      <c r="N23" s="16"/>
      <c r="O23" s="16"/>
      <c r="P23" s="16"/>
      <c r="Q23" s="9"/>
    </row>
    <row r="24" spans="1:76" ht="4.5" customHeight="1" x14ac:dyDescent="0.35">
      <c r="A24" s="10"/>
      <c r="B24" s="11"/>
      <c r="C24" s="11"/>
      <c r="D24" s="12"/>
      <c r="E24" s="11"/>
      <c r="F24" s="11"/>
      <c r="G24" s="32"/>
      <c r="H24" s="11"/>
      <c r="I24" s="4"/>
      <c r="J24" s="4"/>
      <c r="K24" s="4"/>
      <c r="L24" s="4"/>
      <c r="M24" s="4"/>
      <c r="N24" s="4"/>
      <c r="O24" s="4"/>
      <c r="Q24" s="9"/>
    </row>
    <row r="25" spans="1:76" ht="19.5" customHeight="1" x14ac:dyDescent="0.35">
      <c r="A25" s="10"/>
      <c r="B25" s="1" t="s">
        <v>41</v>
      </c>
      <c r="C25" s="11"/>
      <c r="D25" s="35" t="s">
        <v>56</v>
      </c>
      <c r="F25" s="11"/>
      <c r="G25" s="32"/>
      <c r="H25" s="64" t="s">
        <v>57</v>
      </c>
      <c r="I25" s="64"/>
      <c r="J25" s="37"/>
      <c r="K25" s="38" t="s">
        <v>31</v>
      </c>
      <c r="L25" s="35"/>
      <c r="M25" s="35"/>
      <c r="N25" s="35"/>
      <c r="O25" s="13" t="s">
        <v>58</v>
      </c>
      <c r="P25" s="33" t="s">
        <v>39</v>
      </c>
      <c r="Q25" s="9"/>
    </row>
    <row r="26" spans="1:76" ht="4.5" customHeight="1" x14ac:dyDescent="0.35">
      <c r="A26" s="10"/>
      <c r="B26" s="11"/>
      <c r="C26" s="11"/>
      <c r="D26" s="12"/>
      <c r="E26" s="11"/>
      <c r="F26" s="11"/>
      <c r="G26" s="32"/>
      <c r="H26" s="64"/>
      <c r="I26" s="64"/>
      <c r="J26" s="37"/>
      <c r="P26" s="4"/>
      <c r="Q26" s="9"/>
    </row>
    <row r="27" spans="1:76" ht="19.5" customHeight="1" x14ac:dyDescent="0.35">
      <c r="A27" s="10"/>
      <c r="B27" s="1"/>
      <c r="C27" s="11"/>
      <c r="D27" s="35" t="s">
        <v>59</v>
      </c>
      <c r="E27" s="11"/>
      <c r="F27" s="11"/>
      <c r="G27" s="32"/>
      <c r="H27" s="64"/>
      <c r="I27" s="64"/>
      <c r="J27" s="37"/>
      <c r="K27" s="38" t="s">
        <v>25</v>
      </c>
      <c r="L27" s="13"/>
      <c r="M27" s="13"/>
      <c r="N27" s="13"/>
      <c r="O27" s="13" t="s">
        <v>60</v>
      </c>
      <c r="P27" s="33" t="s">
        <v>39</v>
      </c>
      <c r="Q27" s="9"/>
    </row>
    <row r="28" spans="1:76" ht="4.5" customHeight="1" x14ac:dyDescent="0.35">
      <c r="A28" s="10"/>
      <c r="B28" s="11"/>
      <c r="C28" s="11"/>
      <c r="E28" s="11"/>
      <c r="F28" s="11"/>
      <c r="G28" s="32"/>
      <c r="H28" s="64"/>
      <c r="I28" s="64"/>
      <c r="J28" s="37"/>
      <c r="L28" s="4"/>
      <c r="M28" s="4"/>
      <c r="N28" s="4"/>
      <c r="O28" s="4"/>
      <c r="P28" s="4"/>
      <c r="Q28" s="9"/>
    </row>
    <row r="29" spans="1:76" ht="19.5" customHeight="1" x14ac:dyDescent="0.35">
      <c r="A29" s="10"/>
      <c r="B29" s="1"/>
      <c r="C29" s="11"/>
      <c r="D29" s="35" t="s">
        <v>61</v>
      </c>
      <c r="E29" s="4"/>
      <c r="F29" s="4"/>
      <c r="G29" s="39"/>
      <c r="H29" s="64"/>
      <c r="I29" s="64"/>
      <c r="J29" s="37"/>
      <c r="K29" s="38"/>
      <c r="L29" s="4"/>
      <c r="M29" s="4"/>
      <c r="N29" s="4"/>
      <c r="O29" s="13" t="s">
        <v>62</v>
      </c>
      <c r="P29" s="40" t="s">
        <v>320</v>
      </c>
      <c r="Q29" s="9"/>
    </row>
    <row r="30" spans="1:76" ht="4.5" customHeight="1" x14ac:dyDescent="0.35">
      <c r="A30" s="10"/>
      <c r="B30" s="11"/>
      <c r="C30" s="11"/>
      <c r="D30" s="12"/>
      <c r="E30" s="11"/>
      <c r="F30" s="11"/>
      <c r="G30" s="32"/>
      <c r="H30" s="64"/>
      <c r="I30" s="64"/>
      <c r="J30" s="37"/>
      <c r="K30" s="11"/>
      <c r="L30" s="4"/>
      <c r="M30" s="4"/>
      <c r="N30" s="4"/>
      <c r="O30" s="11"/>
      <c r="P30" s="4"/>
      <c r="Q30" s="9"/>
    </row>
    <row r="31" spans="1:76" ht="19.5" customHeight="1" x14ac:dyDescent="0.35">
      <c r="A31" s="10"/>
      <c r="B31" s="1"/>
      <c r="C31" s="11"/>
      <c r="D31" s="35" t="s">
        <v>64</v>
      </c>
      <c r="E31" s="13"/>
      <c r="F31" s="13"/>
      <c r="G31" s="41"/>
      <c r="H31" s="64"/>
      <c r="I31" s="64"/>
      <c r="J31" s="37"/>
      <c r="K31" s="38"/>
      <c r="L31" s="4"/>
      <c r="M31" s="4"/>
      <c r="N31" s="4"/>
      <c r="O31" s="11"/>
      <c r="P31" s="42" t="s">
        <v>65</v>
      </c>
      <c r="Q31" s="9"/>
      <c r="BW31" s="5" t="s">
        <v>45</v>
      </c>
    </row>
    <row r="32" spans="1:76" ht="4.5" customHeight="1" x14ac:dyDescent="0.35">
      <c r="A32" s="10"/>
      <c r="B32" s="11"/>
      <c r="C32" s="11"/>
      <c r="D32" s="12"/>
      <c r="E32" s="11"/>
      <c r="F32" s="11"/>
      <c r="G32" s="32"/>
      <c r="H32" s="64"/>
      <c r="I32" s="64"/>
      <c r="J32" s="37"/>
      <c r="L32" s="4"/>
      <c r="M32" s="4"/>
      <c r="N32" s="4"/>
      <c r="O32" s="4"/>
      <c r="P32" s="4"/>
      <c r="Q32" s="9"/>
      <c r="BW32" s="5" t="s">
        <v>66</v>
      </c>
    </row>
    <row r="33" spans="1:75" ht="19.5" customHeight="1" x14ac:dyDescent="0.35">
      <c r="A33" s="10"/>
      <c r="B33" s="11"/>
      <c r="C33" s="11"/>
      <c r="D33" s="16"/>
      <c r="E33" s="16"/>
      <c r="F33" s="4"/>
      <c r="G33" s="39"/>
      <c r="H33" s="64"/>
      <c r="I33" s="64"/>
      <c r="J33" s="37"/>
      <c r="K33" s="38"/>
      <c r="L33" s="4"/>
      <c r="M33" s="4"/>
      <c r="N33" s="4"/>
      <c r="O33" s="13" t="s">
        <v>67</v>
      </c>
      <c r="P33" s="33" t="s">
        <v>39</v>
      </c>
      <c r="Q33" s="9"/>
      <c r="U33" s="43">
        <v>0.9</v>
      </c>
      <c r="BW33" s="5" t="s">
        <v>68</v>
      </c>
    </row>
    <row r="34" spans="1:75" ht="15" customHeight="1" x14ac:dyDescent="0.35">
      <c r="A34" s="10"/>
      <c r="B34" s="11"/>
      <c r="C34" s="11"/>
      <c r="D34" s="12"/>
      <c r="E34" s="11"/>
      <c r="F34" s="11"/>
      <c r="G34" s="11"/>
      <c r="H34" s="11"/>
      <c r="I34" s="11"/>
      <c r="J34" s="11"/>
      <c r="O34" s="11"/>
      <c r="P34" s="11"/>
      <c r="Q34" s="9"/>
      <c r="T34" s="4">
        <v>3800</v>
      </c>
      <c r="U34" s="4">
        <f>+T34*U33</f>
        <v>3420</v>
      </c>
      <c r="V34" s="4" t="s">
        <v>69</v>
      </c>
    </row>
    <row r="35" spans="1:75" ht="75" customHeight="1" x14ac:dyDescent="0.35">
      <c r="A35" s="10" t="s">
        <v>70</v>
      </c>
      <c r="B35" s="62" t="s">
        <v>331</v>
      </c>
      <c r="C35" s="62"/>
      <c r="D35" s="62"/>
      <c r="E35" s="62"/>
      <c r="F35" s="62"/>
      <c r="G35" s="62"/>
      <c r="H35" s="62"/>
      <c r="I35" s="62"/>
      <c r="J35" s="11"/>
      <c r="O35" s="13" t="s">
        <v>72</v>
      </c>
      <c r="P35" s="36" t="s">
        <v>73</v>
      </c>
      <c r="Q35" s="9"/>
      <c r="R35" s="4" t="s">
        <v>74</v>
      </c>
      <c r="S35" s="43">
        <v>0.59</v>
      </c>
      <c r="T35" s="4">
        <f>+S35*T34</f>
        <v>2242</v>
      </c>
      <c r="U35" s="4">
        <f>+T35</f>
        <v>2242</v>
      </c>
      <c r="V35" s="4" t="s">
        <v>75</v>
      </c>
    </row>
    <row r="36" spans="1:75" ht="6" customHeight="1" x14ac:dyDescent="0.3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20"/>
    </row>
    <row r="37" spans="1:75" ht="4.5" customHeight="1" x14ac:dyDescent="0.35">
      <c r="A37" s="10"/>
      <c r="B37" s="4"/>
      <c r="C37" s="11"/>
      <c r="D37" s="11"/>
      <c r="E37" s="11"/>
      <c r="I37" s="4"/>
      <c r="J37" s="13"/>
      <c r="K37" s="24"/>
      <c r="Q37" s="9"/>
    </row>
    <row r="38" spans="1:75" ht="23.25" customHeight="1" x14ac:dyDescent="0.35">
      <c r="A38" s="25" t="s">
        <v>76</v>
      </c>
      <c r="B38" s="26"/>
      <c r="C38" s="26"/>
      <c r="D38" s="26"/>
      <c r="Q38" s="9"/>
      <c r="R38" s="4" t="s">
        <v>77</v>
      </c>
      <c r="S38" s="43">
        <f>1-S35</f>
        <v>0.41000000000000003</v>
      </c>
      <c r="T38" s="4">
        <f>+S38*T34</f>
        <v>1558.0000000000002</v>
      </c>
      <c r="U38" s="4">
        <f>+U34-U35</f>
        <v>1178</v>
      </c>
      <c r="V38" s="4" t="s">
        <v>78</v>
      </c>
      <c r="BV38" s="44" t="s">
        <v>79</v>
      </c>
    </row>
    <row r="39" spans="1:75" ht="4.5" customHeight="1" x14ac:dyDescent="0.35">
      <c r="A39" s="10"/>
      <c r="B39" s="4"/>
      <c r="C39" s="11"/>
      <c r="D39" s="11"/>
      <c r="E39" s="11"/>
      <c r="I39" s="4"/>
      <c r="J39" s="13"/>
      <c r="K39" s="24"/>
      <c r="Q39" s="9"/>
      <c r="BW39" s="5" t="s">
        <v>80</v>
      </c>
    </row>
    <row r="40" spans="1:75" ht="19.5" customHeight="1" x14ac:dyDescent="0.35">
      <c r="A40" s="45"/>
      <c r="D40" s="13" t="s">
        <v>81</v>
      </c>
      <c r="E40" s="34" t="s">
        <v>321</v>
      </c>
      <c r="J40" s="13" t="s">
        <v>82</v>
      </c>
      <c r="K40" s="2" t="s">
        <v>322</v>
      </c>
      <c r="L40" s="46" t="s">
        <v>84</v>
      </c>
      <c r="M40" s="46"/>
      <c r="N40" s="46"/>
      <c r="Q40" s="9"/>
      <c r="BV40" s="44"/>
      <c r="BW40" s="5" t="s">
        <v>85</v>
      </c>
    </row>
    <row r="41" spans="1:75" ht="4.5" customHeight="1" x14ac:dyDescent="0.35">
      <c r="A41" s="10"/>
      <c r="B41" s="4"/>
      <c r="C41" s="11"/>
      <c r="D41" s="11"/>
      <c r="E41" s="11"/>
      <c r="I41" s="4"/>
      <c r="J41" s="13"/>
      <c r="K41" s="24"/>
      <c r="Q41" s="9"/>
      <c r="BW41" s="5" t="s">
        <v>86</v>
      </c>
    </row>
    <row r="42" spans="1:75" ht="19.5" customHeight="1" x14ac:dyDescent="0.35">
      <c r="A42" s="47"/>
      <c r="D42" s="13" t="s">
        <v>87</v>
      </c>
      <c r="E42" s="2" t="s">
        <v>18</v>
      </c>
      <c r="F42" s="2" t="s">
        <v>11</v>
      </c>
      <c r="J42" s="13" t="s">
        <v>88</v>
      </c>
      <c r="K42" s="2" t="s">
        <v>323</v>
      </c>
      <c r="L42" s="48" t="s">
        <v>90</v>
      </c>
      <c r="M42" s="46"/>
      <c r="N42" s="46"/>
      <c r="Q42" s="9"/>
      <c r="BV42" s="44"/>
      <c r="BW42" s="5" t="s">
        <v>91</v>
      </c>
    </row>
    <row r="43" spans="1:75" ht="4.5" customHeight="1" x14ac:dyDescent="0.35">
      <c r="A43" s="10"/>
      <c r="B43" s="4"/>
      <c r="C43" s="11"/>
      <c r="D43" s="11"/>
      <c r="E43" s="11"/>
      <c r="I43" s="4"/>
      <c r="J43" s="13"/>
      <c r="K43" s="24"/>
      <c r="Q43" s="9"/>
      <c r="BW43" s="5" t="s">
        <v>92</v>
      </c>
    </row>
    <row r="44" spans="1:75" ht="19.5" customHeight="1" x14ac:dyDescent="0.35">
      <c r="A44" s="47"/>
      <c r="D44" s="13" t="s">
        <v>93</v>
      </c>
      <c r="E44" s="2" t="s">
        <v>324</v>
      </c>
      <c r="J44" s="13" t="s">
        <v>94</v>
      </c>
      <c r="K44" s="2" t="s">
        <v>86</v>
      </c>
      <c r="Q44" s="9"/>
      <c r="BV44" s="44"/>
      <c r="BW44" s="5" t="s">
        <v>95</v>
      </c>
    </row>
    <row r="45" spans="1:75" ht="4.5" customHeight="1" x14ac:dyDescent="0.35">
      <c r="A45" s="10"/>
      <c r="B45" s="4"/>
      <c r="C45" s="11"/>
      <c r="D45" s="11"/>
      <c r="E45" s="11"/>
      <c r="I45" s="4"/>
      <c r="J45" s="13"/>
      <c r="K45" s="24"/>
      <c r="Q45" s="9"/>
      <c r="BW45" s="5" t="s">
        <v>96</v>
      </c>
    </row>
    <row r="46" spans="1:75" ht="19.5" customHeight="1" x14ac:dyDescent="0.35">
      <c r="A46" s="47"/>
      <c r="B46" s="26"/>
      <c r="C46" s="26"/>
      <c r="D46" s="13" t="s">
        <v>97</v>
      </c>
      <c r="E46" s="2">
        <v>10</v>
      </c>
      <c r="J46" s="13" t="s">
        <v>98</v>
      </c>
      <c r="K46" s="2" t="s">
        <v>47</v>
      </c>
      <c r="Q46" s="9"/>
      <c r="T46" s="4">
        <v>1</v>
      </c>
      <c r="U46" s="4">
        <v>1.2</v>
      </c>
      <c r="V46" s="4">
        <v>1.5</v>
      </c>
      <c r="W46" s="4">
        <f>+T46*U46*V46</f>
        <v>1.7999999999999998</v>
      </c>
      <c r="BV46" s="44"/>
      <c r="BW46" s="5" t="s">
        <v>99</v>
      </c>
    </row>
    <row r="47" spans="1:75" ht="4.5" customHeight="1" x14ac:dyDescent="0.35">
      <c r="A47" s="10"/>
      <c r="B47" s="4"/>
      <c r="C47" s="11"/>
      <c r="D47" s="11"/>
      <c r="E47" s="11"/>
      <c r="Q47" s="9"/>
      <c r="BW47" s="5" t="s">
        <v>100</v>
      </c>
    </row>
    <row r="48" spans="1:75" ht="56.25" customHeight="1" x14ac:dyDescent="0.35">
      <c r="A48" s="47"/>
      <c r="B48" s="26"/>
      <c r="C48" s="26"/>
      <c r="D48" s="10" t="s">
        <v>101</v>
      </c>
      <c r="E48" s="2" t="s">
        <v>325</v>
      </c>
      <c r="J48" s="13" t="s">
        <v>102</v>
      </c>
      <c r="K48" s="2" t="s">
        <v>103</v>
      </c>
      <c r="L48" s="46" t="s">
        <v>104</v>
      </c>
      <c r="M48" s="13"/>
      <c r="N48" s="13"/>
      <c r="Q48" s="9"/>
      <c r="S48" s="4" t="str">
        <f>+E50</f>
        <v>≈ 9 m³ (5 tarimas)</v>
      </c>
      <c r="T48" s="4">
        <f>3121/W46</f>
        <v>1733.8888888888891</v>
      </c>
      <c r="BV48" s="44"/>
    </row>
    <row r="49" spans="1:76" ht="4.5" customHeight="1" x14ac:dyDescent="0.35">
      <c r="A49" s="10"/>
      <c r="B49" s="4"/>
      <c r="C49" s="11"/>
      <c r="D49" s="11"/>
      <c r="E49" s="11"/>
      <c r="Q49" s="9"/>
    </row>
    <row r="50" spans="1:76" ht="36.75" customHeight="1" x14ac:dyDescent="0.35">
      <c r="A50" s="47"/>
      <c r="B50" s="26"/>
      <c r="C50" s="26"/>
      <c r="D50" s="49" t="s">
        <v>105</v>
      </c>
      <c r="E50" s="2" t="s">
        <v>326</v>
      </c>
      <c r="Q50" s="9"/>
      <c r="BV50" s="44"/>
    </row>
    <row r="51" spans="1:76" ht="6" customHeight="1" x14ac:dyDescent="0.3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</row>
    <row r="52" spans="1:76" ht="4.5" customHeight="1" x14ac:dyDescent="0.35">
      <c r="A52" s="10"/>
      <c r="B52" s="4"/>
      <c r="C52" s="11"/>
      <c r="D52" s="11"/>
      <c r="E52" s="11"/>
      <c r="I52" s="4"/>
      <c r="J52" s="13"/>
      <c r="K52" s="24"/>
      <c r="Q52" s="9"/>
    </row>
    <row r="53" spans="1:76" ht="23.25" customHeight="1" x14ac:dyDescent="0.35">
      <c r="A53" s="25" t="s">
        <v>107</v>
      </c>
      <c r="B53" s="26"/>
      <c r="C53" s="26"/>
      <c r="D53" s="26"/>
      <c r="Q53" s="9"/>
      <c r="BV53" s="5" t="s">
        <v>108</v>
      </c>
      <c r="BW53" s="5" t="s">
        <v>109</v>
      </c>
      <c r="BX53" s="5" t="s">
        <v>110</v>
      </c>
    </row>
    <row r="54" spans="1:76" ht="4.5" customHeight="1" x14ac:dyDescent="0.35">
      <c r="A54" s="10"/>
      <c r="B54" s="4"/>
      <c r="C54" s="11"/>
      <c r="D54" s="11"/>
      <c r="E54" s="11"/>
      <c r="I54" s="4"/>
      <c r="J54" s="13"/>
      <c r="K54" s="24"/>
      <c r="Q54" s="9"/>
      <c r="BW54" s="5" t="s">
        <v>111</v>
      </c>
      <c r="BX54" s="5" t="s">
        <v>112</v>
      </c>
    </row>
    <row r="55" spans="1:76" x14ac:dyDescent="0.35">
      <c r="A55" s="50"/>
      <c r="C55" s="13"/>
      <c r="D55" s="13" t="s">
        <v>113</v>
      </c>
      <c r="E55" s="2" t="s">
        <v>327</v>
      </c>
      <c r="F55" s="13"/>
      <c r="G55" s="13"/>
      <c r="J55" s="13" t="s">
        <v>114</v>
      </c>
      <c r="K55" s="2" t="s">
        <v>109</v>
      </c>
      <c r="Q55" s="9"/>
      <c r="BV55" s="5" t="s">
        <v>115</v>
      </c>
      <c r="BW55" s="5" t="s">
        <v>116</v>
      </c>
      <c r="BX55" s="5" t="s">
        <v>117</v>
      </c>
    </row>
    <row r="56" spans="1:76" ht="4.5" customHeight="1" x14ac:dyDescent="0.35">
      <c r="A56" s="10"/>
      <c r="B56" s="4"/>
      <c r="C56" s="11"/>
      <c r="D56" s="11"/>
      <c r="E56" s="11"/>
      <c r="I56" s="4"/>
      <c r="J56" s="13"/>
      <c r="K56" s="24"/>
      <c r="Q56" s="9"/>
      <c r="BX56" s="5" t="s">
        <v>12</v>
      </c>
    </row>
    <row r="57" spans="1:76" x14ac:dyDescent="0.35">
      <c r="A57" s="51"/>
      <c r="D57" s="13" t="s">
        <v>118</v>
      </c>
      <c r="E57" s="2">
        <v>10</v>
      </c>
      <c r="J57" s="13" t="s">
        <v>119</v>
      </c>
      <c r="K57" s="2" t="s">
        <v>110</v>
      </c>
      <c r="L57" s="15" t="s">
        <v>120</v>
      </c>
      <c r="M57" s="15" t="s">
        <v>121</v>
      </c>
      <c r="N57" s="15"/>
      <c r="O57" s="16"/>
      <c r="P57" s="52"/>
      <c r="Q57" s="9"/>
      <c r="BX57" s="4"/>
    </row>
    <row r="58" spans="1:76" ht="6" customHeight="1" x14ac:dyDescent="0.35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</row>
    <row r="59" spans="1:76" ht="4.5" customHeight="1" x14ac:dyDescent="0.35">
      <c r="A59" s="10"/>
      <c r="B59" s="4"/>
      <c r="C59" s="11"/>
      <c r="D59" s="11"/>
      <c r="E59" s="11"/>
      <c r="I59" s="4"/>
      <c r="J59" s="13"/>
      <c r="K59" s="24"/>
      <c r="Q59" s="9"/>
    </row>
    <row r="60" spans="1:76" ht="23.25" customHeight="1" x14ac:dyDescent="0.35">
      <c r="A60" s="25" t="s">
        <v>122</v>
      </c>
      <c r="B60" s="26"/>
      <c r="C60" s="26"/>
      <c r="D60" s="26"/>
      <c r="Q60" s="9"/>
      <c r="BV60" s="5" t="s">
        <v>123</v>
      </c>
    </row>
    <row r="61" spans="1:76" ht="4.5" customHeight="1" x14ac:dyDescent="0.35">
      <c r="A61" s="10"/>
      <c r="B61" s="4"/>
      <c r="C61" s="11"/>
      <c r="D61" s="11"/>
      <c r="E61" s="11"/>
      <c r="I61" s="4"/>
      <c r="J61" s="13"/>
      <c r="K61" s="24"/>
      <c r="Q61" s="9"/>
      <c r="BV61" s="5" t="s">
        <v>124</v>
      </c>
    </row>
    <row r="62" spans="1:76" x14ac:dyDescent="0.35">
      <c r="A62" s="51"/>
      <c r="D62" s="14" t="s">
        <v>125</v>
      </c>
      <c r="E62" s="2" t="s">
        <v>330</v>
      </c>
      <c r="I62" s="13"/>
      <c r="J62" s="13" t="s">
        <v>127</v>
      </c>
      <c r="K62" s="2" t="s">
        <v>328</v>
      </c>
      <c r="O62" s="13" t="s">
        <v>129</v>
      </c>
      <c r="P62" s="2" t="s">
        <v>21</v>
      </c>
      <c r="Q62" s="9"/>
      <c r="BV62" s="5" t="s">
        <v>130</v>
      </c>
    </row>
    <row r="63" spans="1:76" ht="4.5" customHeight="1" x14ac:dyDescent="0.35">
      <c r="A63" s="10"/>
      <c r="B63" s="11"/>
      <c r="C63" s="11"/>
      <c r="E63" s="11"/>
      <c r="I63" s="4"/>
      <c r="K63" s="13"/>
      <c r="L63" s="4"/>
      <c r="M63" s="4"/>
      <c r="O63" s="4"/>
      <c r="Q63" s="9"/>
    </row>
    <row r="64" spans="1:76" x14ac:dyDescent="0.35">
      <c r="A64" s="51"/>
      <c r="D64" s="14" t="s">
        <v>131</v>
      </c>
      <c r="E64" s="2">
        <v>4</v>
      </c>
      <c r="J64" s="13" t="s">
        <v>132</v>
      </c>
      <c r="K64" s="2" t="s">
        <v>124</v>
      </c>
      <c r="O64" s="13" t="s">
        <v>133</v>
      </c>
      <c r="P64" s="34" t="s">
        <v>45</v>
      </c>
      <c r="Q64" s="9"/>
    </row>
    <row r="65" spans="1:17" ht="4.5" customHeight="1" x14ac:dyDescent="0.35">
      <c r="A65" s="10"/>
      <c r="B65" s="11"/>
      <c r="C65" s="11"/>
      <c r="E65" s="11"/>
      <c r="I65" s="4"/>
      <c r="K65" s="13"/>
      <c r="L65" s="4"/>
      <c r="M65" s="4"/>
      <c r="N65" s="4"/>
      <c r="Q65" s="9"/>
    </row>
    <row r="66" spans="1:17" x14ac:dyDescent="0.35">
      <c r="A66" s="51"/>
      <c r="D66" s="14" t="s">
        <v>134</v>
      </c>
      <c r="E66" s="33" t="s">
        <v>329</v>
      </c>
      <c r="J66" s="13" t="s">
        <v>135</v>
      </c>
      <c r="K66" s="2" t="s">
        <v>46</v>
      </c>
      <c r="Q66" s="9"/>
    </row>
    <row r="67" spans="1:17" ht="6" customHeight="1" x14ac:dyDescent="0.3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</row>
    <row r="68" spans="1:17" ht="4.5" customHeight="1" x14ac:dyDescent="0.35">
      <c r="A68" s="10"/>
      <c r="B68" s="4"/>
      <c r="C68" s="11"/>
      <c r="D68" s="11"/>
      <c r="E68" s="11"/>
      <c r="I68" s="4"/>
      <c r="J68" s="13"/>
      <c r="K68" s="24"/>
      <c r="Q68" s="9"/>
    </row>
    <row r="69" spans="1:17" ht="18.75" customHeight="1" x14ac:dyDescent="0.35">
      <c r="A69" s="53" t="s">
        <v>136</v>
      </c>
      <c r="B69" s="26"/>
      <c r="C69" s="26"/>
      <c r="E69" s="54" t="s">
        <v>137</v>
      </c>
      <c r="I69" s="13" t="s">
        <v>138</v>
      </c>
      <c r="J69" s="33" t="s">
        <v>39</v>
      </c>
      <c r="M69" s="13" t="s">
        <v>139</v>
      </c>
      <c r="N69" s="60" t="s">
        <v>140</v>
      </c>
      <c r="O69" s="60"/>
      <c r="P69" s="60"/>
      <c r="Q69" s="9"/>
    </row>
    <row r="70" spans="1:17" ht="4.5" customHeight="1" x14ac:dyDescent="0.35">
      <c r="A70" s="10"/>
      <c r="B70" s="4"/>
      <c r="C70" s="11"/>
      <c r="D70" s="11"/>
      <c r="E70" s="11"/>
      <c r="I70" s="4"/>
      <c r="J70" s="13"/>
      <c r="K70" s="24"/>
      <c r="Q70" s="9"/>
    </row>
    <row r="71" spans="1:17" x14ac:dyDescent="0.35">
      <c r="A71" s="14" t="s">
        <v>141</v>
      </c>
      <c r="B71" s="33"/>
      <c r="C71" s="26"/>
      <c r="D71" s="26"/>
      <c r="F71" s="13" t="s">
        <v>142</v>
      </c>
      <c r="G71" s="33"/>
      <c r="I71" s="13" t="s">
        <v>143</v>
      </c>
      <c r="J71" s="33"/>
      <c r="M71" s="13" t="s">
        <v>144</v>
      </c>
      <c r="N71" s="60" t="s">
        <v>332</v>
      </c>
      <c r="O71" s="60"/>
      <c r="Q71" s="9"/>
    </row>
    <row r="72" spans="1:17" ht="4.5" customHeight="1" x14ac:dyDescent="0.35">
      <c r="A72" s="10"/>
      <c r="B72" s="11"/>
      <c r="C72" s="11"/>
      <c r="E72" s="11"/>
      <c r="I72" s="4"/>
      <c r="K72" s="13"/>
      <c r="L72" s="4"/>
      <c r="M72" s="4"/>
      <c r="N72" s="4"/>
      <c r="Q72" s="9"/>
    </row>
    <row r="73" spans="1:17" x14ac:dyDescent="0.35">
      <c r="A73" s="14" t="s">
        <v>146</v>
      </c>
      <c r="B73" s="33" t="s">
        <v>39</v>
      </c>
      <c r="C73" s="26"/>
      <c r="D73" s="26"/>
      <c r="F73" s="14" t="s">
        <v>147</v>
      </c>
      <c r="G73" s="33"/>
      <c r="I73" s="13" t="s">
        <v>148</v>
      </c>
      <c r="J73" s="33"/>
      <c r="M73" s="13" t="s">
        <v>149</v>
      </c>
      <c r="N73" s="60" t="s">
        <v>150</v>
      </c>
      <c r="O73" s="60"/>
      <c r="Q73" s="9"/>
    </row>
    <row r="74" spans="1:17" ht="4.5" customHeight="1" x14ac:dyDescent="0.35">
      <c r="A74" s="10"/>
      <c r="B74" s="11"/>
      <c r="C74" s="11"/>
      <c r="E74" s="11"/>
      <c r="I74" s="13"/>
      <c r="J74" s="4"/>
      <c r="K74" s="13"/>
      <c r="L74" s="4"/>
      <c r="M74" s="4"/>
      <c r="N74" s="4"/>
      <c r="Q74" s="9"/>
    </row>
    <row r="75" spans="1:17" x14ac:dyDescent="0.35">
      <c r="A75" s="14" t="s">
        <v>151</v>
      </c>
      <c r="B75" s="33"/>
      <c r="C75" s="26"/>
      <c r="D75" s="26"/>
      <c r="F75" s="13" t="s">
        <v>152</v>
      </c>
      <c r="G75" s="33"/>
      <c r="I75" s="13" t="s">
        <v>153</v>
      </c>
      <c r="J75" s="33" t="s">
        <v>39</v>
      </c>
      <c r="K75" s="13"/>
      <c r="M75" s="13" t="s">
        <v>154</v>
      </c>
      <c r="N75" s="60" t="s">
        <v>155</v>
      </c>
      <c r="O75" s="60"/>
      <c r="P75" s="13"/>
      <c r="Q75" s="9"/>
    </row>
    <row r="76" spans="1:17" ht="4.5" customHeight="1" x14ac:dyDescent="0.35">
      <c r="A76" s="14"/>
      <c r="B76" s="4"/>
      <c r="C76" s="11"/>
      <c r="D76" s="12"/>
      <c r="E76" s="11"/>
      <c r="F76" s="13"/>
      <c r="I76" s="4"/>
      <c r="K76" s="13"/>
      <c r="L76" s="4"/>
      <c r="M76" s="4"/>
      <c r="P76" s="49"/>
      <c r="Q76" s="9"/>
    </row>
    <row r="77" spans="1:17" x14ac:dyDescent="0.35">
      <c r="A77" s="14" t="s">
        <v>156</v>
      </c>
      <c r="B77" s="33"/>
      <c r="F77" s="13" t="s">
        <v>157</v>
      </c>
      <c r="G77" s="33"/>
      <c r="I77" s="13" t="s">
        <v>58</v>
      </c>
      <c r="J77" s="33" t="s">
        <v>39</v>
      </c>
      <c r="M77" s="13" t="s">
        <v>158</v>
      </c>
      <c r="N77" s="60" t="s">
        <v>159</v>
      </c>
      <c r="O77" s="60"/>
      <c r="P77" s="13"/>
      <c r="Q77" s="9"/>
    </row>
    <row r="78" spans="1:17" ht="4.5" customHeight="1" x14ac:dyDescent="0.35">
      <c r="A78" s="14"/>
      <c r="B78" s="4"/>
      <c r="C78" s="11"/>
      <c r="E78" s="11"/>
      <c r="F78" s="13"/>
      <c r="I78" s="4"/>
      <c r="J78" s="4"/>
      <c r="K78" s="13"/>
      <c r="L78" s="4"/>
      <c r="M78" s="4"/>
      <c r="N78" s="13"/>
      <c r="Q78" s="9"/>
    </row>
    <row r="79" spans="1:17" x14ac:dyDescent="0.35">
      <c r="A79" s="14" t="s">
        <v>160</v>
      </c>
      <c r="B79" s="33"/>
      <c r="F79" s="13" t="s">
        <v>161</v>
      </c>
      <c r="G79" s="33" t="s">
        <v>39</v>
      </c>
      <c r="H79" s="13"/>
      <c r="I79" s="13" t="s">
        <v>162</v>
      </c>
      <c r="J79" s="33" t="s">
        <v>46</v>
      </c>
      <c r="M79" s="13" t="s">
        <v>163</v>
      </c>
      <c r="N79" s="33" t="s">
        <v>39</v>
      </c>
      <c r="P79" s="13"/>
      <c r="Q79" s="9"/>
    </row>
    <row r="80" spans="1:17" ht="6" customHeight="1" x14ac:dyDescent="0.35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</row>
    <row r="81" spans="1:77" ht="4.5" customHeight="1" x14ac:dyDescent="0.35">
      <c r="A81" s="10"/>
      <c r="B81" s="4"/>
      <c r="C81" s="11"/>
      <c r="D81" s="11"/>
      <c r="E81" s="11"/>
      <c r="I81" s="4"/>
      <c r="J81" s="13"/>
      <c r="K81" s="24"/>
      <c r="Q81" s="9"/>
      <c r="BW81" s="5" t="s">
        <v>86</v>
      </c>
    </row>
    <row r="82" spans="1:77" ht="25.5" customHeight="1" x14ac:dyDescent="0.35">
      <c r="A82" s="61" t="s">
        <v>164</v>
      </c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</row>
    <row r="83" spans="1:77" ht="6" customHeight="1" x14ac:dyDescent="0.35">
      <c r="A83" s="51"/>
      <c r="Q83" s="9"/>
    </row>
    <row r="84" spans="1:77" ht="14.25" customHeight="1" x14ac:dyDescent="0.35">
      <c r="A84" s="14" t="s">
        <v>165</v>
      </c>
      <c r="B84" s="33" t="s">
        <v>41</v>
      </c>
      <c r="F84" s="13" t="s">
        <v>166</v>
      </c>
      <c r="G84" s="33" t="s">
        <v>41</v>
      </c>
      <c r="H84" s="13" t="s">
        <v>167</v>
      </c>
      <c r="I84" s="62" t="s">
        <v>333</v>
      </c>
      <c r="J84" s="62"/>
      <c r="K84" s="62"/>
      <c r="L84" s="62"/>
      <c r="M84" s="62"/>
      <c r="N84" s="62"/>
      <c r="O84" s="62"/>
      <c r="P84" s="62"/>
      <c r="Q84" s="9"/>
    </row>
    <row r="85" spans="1:77" ht="4.5" customHeight="1" x14ac:dyDescent="0.35">
      <c r="A85" s="10"/>
      <c r="B85" s="11"/>
      <c r="C85" s="11"/>
      <c r="E85" s="4"/>
      <c r="F85" s="49"/>
      <c r="G85" s="11"/>
      <c r="I85" s="62"/>
      <c r="J85" s="62"/>
      <c r="K85" s="62"/>
      <c r="L85" s="62"/>
      <c r="M85" s="62"/>
      <c r="N85" s="62"/>
      <c r="O85" s="62"/>
      <c r="P85" s="62"/>
      <c r="Q85" s="9"/>
    </row>
    <row r="86" spans="1:77" x14ac:dyDescent="0.35">
      <c r="A86" s="14" t="s">
        <v>169</v>
      </c>
      <c r="B86" s="33"/>
      <c r="F86" s="13" t="s">
        <v>170</v>
      </c>
      <c r="G86" s="33"/>
      <c r="I86" s="62"/>
      <c r="J86" s="62"/>
      <c r="K86" s="62"/>
      <c r="L86" s="62"/>
      <c r="M86" s="62"/>
      <c r="N86" s="62"/>
      <c r="O86" s="62"/>
      <c r="P86" s="62"/>
      <c r="Q86" s="9"/>
    </row>
    <row r="87" spans="1:77" ht="6" customHeight="1" x14ac:dyDescent="0.35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</row>
    <row r="88" spans="1:77" ht="6" customHeight="1" x14ac:dyDescent="0.35">
      <c r="A88" s="51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Y88" s="7"/>
    </row>
    <row r="90" spans="1:77" ht="23.25" customHeight="1" x14ac:dyDescent="0.3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</row>
    <row r="91" spans="1:77" x14ac:dyDescent="0.35">
      <c r="BV91" s="5" t="s">
        <v>171</v>
      </c>
    </row>
    <row r="92" spans="1:77" x14ac:dyDescent="0.35">
      <c r="BV92" s="5" t="s">
        <v>172</v>
      </c>
    </row>
    <row r="93" spans="1:77" x14ac:dyDescent="0.35">
      <c r="BV93" s="5" t="s">
        <v>173</v>
      </c>
    </row>
    <row r="94" spans="1:77" x14ac:dyDescent="0.35">
      <c r="A94" s="3" t="s">
        <v>174</v>
      </c>
      <c r="BV94" s="5" t="s">
        <v>175</v>
      </c>
    </row>
    <row r="95" spans="1:77" x14ac:dyDescent="0.35">
      <c r="BV95" s="5" t="s">
        <v>176</v>
      </c>
    </row>
    <row r="96" spans="1:77" x14ac:dyDescent="0.35">
      <c r="BV96" s="5" t="s">
        <v>177</v>
      </c>
    </row>
    <row r="97" spans="74:74" x14ac:dyDescent="0.35">
      <c r="BV97" s="5" t="s">
        <v>115</v>
      </c>
    </row>
  </sheetData>
  <mergeCells count="21">
    <mergeCell ref="A1:P1"/>
    <mergeCell ref="A3:Q3"/>
    <mergeCell ref="B5:E5"/>
    <mergeCell ref="K5:L5"/>
    <mergeCell ref="B7:E7"/>
    <mergeCell ref="K7:L7"/>
    <mergeCell ref="B9:E9"/>
    <mergeCell ref="K9:L9"/>
    <mergeCell ref="B11:E11"/>
    <mergeCell ref="K11:L11"/>
    <mergeCell ref="A14:Q14"/>
    <mergeCell ref="H25:I33"/>
    <mergeCell ref="B35:I35"/>
    <mergeCell ref="N69:P69"/>
    <mergeCell ref="N71:O71"/>
    <mergeCell ref="N73:O73"/>
    <mergeCell ref="N75:O75"/>
    <mergeCell ref="N77:O77"/>
    <mergeCell ref="A82:Q82"/>
    <mergeCell ref="I84:P86"/>
    <mergeCell ref="A90:P90"/>
  </mergeCells>
  <dataValidations count="15">
    <dataValidation type="list" allowBlank="1" showInputMessage="1" showErrorMessage="1" sqref="K46" xr:uid="{00000000-0002-0000-0000-000000000000}">
      <formula1>$BX$18:$BX$21</formula1>
      <formula2>0</formula2>
    </dataValidation>
    <dataValidation type="list" allowBlank="1" showInputMessage="1" showErrorMessage="1" sqref="K19 C77 C79 C84" xr:uid="{00000000-0002-0000-0000-000001000000}">
      <formula1>$BV$1:$BV$2</formula1>
      <formula2>0</formula2>
    </dataValidation>
    <dataValidation type="list" allowBlank="1" showInputMessage="1" showErrorMessage="1" sqref="P19 E40" xr:uid="{00000000-0002-0000-0000-000002000000}">
      <formula1>$BW$31:$BW$35</formula1>
      <formula2>0</formula2>
    </dataValidation>
    <dataValidation type="list" allowBlank="1" showInputMessage="1" showErrorMessage="1" sqref="K44" xr:uid="{00000000-0002-0000-0000-000003000000}">
      <formula1>$BW$39:$BW$48</formula1>
      <formula2>0</formula2>
    </dataValidation>
    <dataValidation type="list" allowBlank="1" showInputMessage="1" showErrorMessage="1" sqref="P25 P27 P33 K66 J69 B71 G71 J71 B73 G73 J73 B75 G75 J75 B77 G77 J77 B79 G79 J79 N79" xr:uid="{00000000-0002-0000-0000-000004000000}">
      <formula1>$BV$18:$BV$19</formula1>
      <formula2>0</formula2>
    </dataValidation>
    <dataValidation type="list" allowBlank="1" showInputMessage="1" showErrorMessage="1" sqref="M9:N9" xr:uid="{00000000-0002-0000-0000-000005000000}">
      <formula1>$BV$53:$BV$55</formula1>
      <formula2>0</formula2>
    </dataValidation>
    <dataValidation type="list" allowBlank="1" showInputMessage="1" showErrorMessage="1" sqref="K55" xr:uid="{00000000-0002-0000-0000-000006000000}">
      <formula1>$BW$53:$BW$57</formula1>
      <formula2>0</formula2>
    </dataValidation>
    <dataValidation type="list" allowBlank="1" showInputMessage="1" showErrorMessage="1" sqref="E42 P62" xr:uid="{00000000-0002-0000-0000-000007000000}">
      <formula1>$BV$5:$BV$7</formula1>
      <formula2>0</formula2>
    </dataValidation>
    <dataValidation type="list" allowBlank="1" showInputMessage="1" showErrorMessage="1" sqref="P21" xr:uid="{00000000-0002-0000-0000-000008000000}">
      <formula1>$BW$1:$BW$7</formula1>
      <formula2>0</formula2>
    </dataValidation>
    <dataValidation type="list" allowBlank="1" showInputMessage="1" showErrorMessage="1" sqref="K11:L11 N11" xr:uid="{00000000-0002-0000-0000-000009000000}">
      <formula1>$BX$1:$BX$12</formula1>
      <formula2>0</formula2>
    </dataValidation>
    <dataValidation type="list" allowBlank="1" showInputMessage="1" showErrorMessage="1" sqref="F42" xr:uid="{00000000-0002-0000-0000-00000A000000}">
      <formula1>$BY$2:$BY$4</formula1>
      <formula2>0</formula2>
    </dataValidation>
    <dataValidation type="list" allowBlank="1" showInputMessage="1" showErrorMessage="1" sqref="K25 K27 K29 K31 K33" xr:uid="{00000000-0002-0000-0000-00000B000000}">
      <formula1>$BY$9:$BY$17</formula1>
      <formula2>0</formula2>
    </dataValidation>
    <dataValidation type="list" allowBlank="1" showInputMessage="1" showErrorMessage="1" sqref="K64" xr:uid="{00000000-0002-0000-0000-00000C000000}">
      <formula1>$BV$60:$BV$66</formula1>
      <formula2>0</formula2>
    </dataValidation>
    <dataValidation type="list" allowBlank="1" showInputMessage="1" showErrorMessage="1" sqref="K57" xr:uid="{00000000-0002-0000-0000-00000D000000}">
      <formula1>$BX$53:$BX$56</formula1>
      <formula2>0</formula2>
    </dataValidation>
    <dataValidation type="list" allowBlank="1" showInputMessage="1" showErrorMessage="1" sqref="P64" xr:uid="{00000000-0002-0000-0000-00000E000000}">
      <formula1>$BW$31:$BW$32</formula1>
      <formula2>0</formula2>
    </dataValidation>
  </dataValidations>
  <hyperlinks>
    <hyperlink ref="K5" r:id="rId1" xr:uid="{A2C939DF-110C-4084-A428-8117E775D837}"/>
  </hyperlinks>
  <pageMargins left="0.7" right="0.7" top="0.75" bottom="0.75" header="0.511811023622047" footer="0.511811023622047"/>
  <pageSetup paperSize="9" orientation="portrait" horizontalDpi="300" verticalDpi="30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CG218"/>
  <sheetViews>
    <sheetView showGridLines="0" zoomScale="85" zoomScaleNormal="85" workbookViewId="0">
      <selection activeCell="U83" sqref="U83"/>
    </sheetView>
  </sheetViews>
  <sheetFormatPr defaultColWidth="9.08984375" defaultRowHeight="14.5" x14ac:dyDescent="0.35"/>
  <cols>
    <col min="1" max="1" width="39.54296875" style="3" customWidth="1"/>
    <col min="2" max="2" width="3.453125" style="3" customWidth="1"/>
    <col min="3" max="3" width="1" style="3" customWidth="1"/>
    <col min="4" max="4" width="19.36328125" style="3" customWidth="1"/>
    <col min="5" max="5" width="19.90625" style="3" customWidth="1"/>
    <col min="6" max="6" width="7.36328125" style="3" customWidth="1"/>
    <col min="7" max="7" width="3.453125" style="3" customWidth="1"/>
    <col min="8" max="8" width="26.90625" style="3" customWidth="1"/>
    <col min="9" max="9" width="18.453125" style="3" customWidth="1"/>
    <col min="10" max="10" width="3.453125" style="3" customWidth="1"/>
    <col min="11" max="11" width="25" style="3" customWidth="1"/>
    <col min="12" max="12" width="18.54296875" style="3" customWidth="1"/>
    <col min="13" max="14" width="3.54296875" style="3" customWidth="1"/>
    <col min="15" max="16" width="13.36328125" style="3" customWidth="1"/>
    <col min="17" max="17" width="2.6328125" style="4" customWidth="1"/>
    <col min="18" max="71" width="11.6328125" style="4" customWidth="1"/>
    <col min="72" max="74" width="11.6328125" style="5" customWidth="1"/>
    <col min="75" max="83" width="9.08984375" style="5"/>
    <col min="84" max="16384" width="9.08984375" style="4"/>
  </cols>
  <sheetData>
    <row r="1" spans="1:85" ht="63" customHeight="1" x14ac:dyDescent="0.35">
      <c r="A1" s="67" t="s">
        <v>178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"/>
      <c r="BV1" s="5" t="s">
        <v>179</v>
      </c>
      <c r="BW1" s="5" t="s">
        <v>2</v>
      </c>
      <c r="BX1" s="5" t="s">
        <v>180</v>
      </c>
      <c r="BY1" s="7"/>
      <c r="CE1" s="7"/>
      <c r="CF1" s="13"/>
      <c r="CG1" s="13"/>
    </row>
    <row r="2" spans="1:85" ht="11.25" customHeight="1" x14ac:dyDescent="0.3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9"/>
      <c r="BV2" s="5" t="s">
        <v>181</v>
      </c>
      <c r="BW2" s="5" t="s">
        <v>5</v>
      </c>
      <c r="BX2" s="5" t="s">
        <v>182</v>
      </c>
      <c r="BY2" s="7" t="s">
        <v>7</v>
      </c>
      <c r="CE2" s="7"/>
      <c r="CF2" s="13"/>
      <c r="CG2" s="13"/>
    </row>
    <row r="3" spans="1:85" ht="26.25" customHeight="1" x14ac:dyDescent="0.35">
      <c r="A3" s="68" t="s">
        <v>183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BW3" s="5" t="s">
        <v>184</v>
      </c>
      <c r="BX3" s="5" t="s">
        <v>185</v>
      </c>
      <c r="BY3" s="7" t="s">
        <v>11</v>
      </c>
      <c r="CE3" s="7"/>
      <c r="CF3" s="13"/>
      <c r="CG3" s="13"/>
    </row>
    <row r="4" spans="1:85" ht="4.5" customHeight="1" x14ac:dyDescent="0.35">
      <c r="A4" s="10"/>
      <c r="B4" s="11"/>
      <c r="C4" s="11"/>
      <c r="D4" s="12"/>
      <c r="E4" s="11"/>
      <c r="F4" s="4"/>
      <c r="G4" s="4"/>
      <c r="H4" s="4"/>
      <c r="I4" s="4"/>
      <c r="J4" s="4"/>
      <c r="K4" s="13"/>
      <c r="L4" s="4"/>
      <c r="M4" s="4"/>
      <c r="N4" s="4"/>
      <c r="O4" s="4"/>
      <c r="Q4" s="9"/>
      <c r="BW4" s="5" t="s">
        <v>186</v>
      </c>
      <c r="BX4" s="5" t="s">
        <v>187</v>
      </c>
      <c r="BY4" s="5" t="s">
        <v>14</v>
      </c>
      <c r="CF4" s="13"/>
      <c r="CG4" s="13"/>
    </row>
    <row r="5" spans="1:85" ht="19.5" customHeight="1" x14ac:dyDescent="0.35">
      <c r="A5" s="14" t="s">
        <v>188</v>
      </c>
      <c r="B5" s="65"/>
      <c r="C5" s="65"/>
      <c r="D5" s="65"/>
      <c r="E5" s="65"/>
      <c r="F5" s="4"/>
      <c r="G5" s="4"/>
      <c r="H5" s="4"/>
      <c r="J5" s="13" t="s">
        <v>189</v>
      </c>
      <c r="K5" s="65"/>
      <c r="L5" s="65"/>
      <c r="M5" s="12"/>
      <c r="N5" s="12"/>
      <c r="O5" s="8"/>
      <c r="P5" s="8"/>
      <c r="Q5" s="9"/>
      <c r="BV5" s="5" t="s">
        <v>190</v>
      </c>
      <c r="BX5" s="5" t="s">
        <v>191</v>
      </c>
      <c r="CF5" s="13"/>
      <c r="CG5" s="13"/>
    </row>
    <row r="6" spans="1:85" ht="4.5" customHeight="1" x14ac:dyDescent="0.35">
      <c r="A6" s="10"/>
      <c r="B6" s="11"/>
      <c r="C6" s="11"/>
      <c r="D6" s="12"/>
      <c r="E6" s="11"/>
      <c r="F6" s="4"/>
      <c r="G6" s="4"/>
      <c r="H6" s="4"/>
      <c r="J6" s="4"/>
      <c r="K6" s="13"/>
      <c r="L6" s="4"/>
      <c r="M6" s="4"/>
      <c r="N6" s="4"/>
      <c r="O6" s="4"/>
      <c r="Q6" s="9"/>
      <c r="BV6" s="5" t="s">
        <v>192</v>
      </c>
      <c r="BX6" s="5" t="s">
        <v>193</v>
      </c>
      <c r="CF6" s="13"/>
      <c r="CG6" s="13"/>
    </row>
    <row r="7" spans="1:85" ht="19.5" customHeight="1" x14ac:dyDescent="0.35">
      <c r="A7" s="14" t="s">
        <v>194</v>
      </c>
      <c r="B7" s="65"/>
      <c r="C7" s="65"/>
      <c r="D7" s="65"/>
      <c r="E7" s="65"/>
      <c r="F7" s="4"/>
      <c r="G7" s="4"/>
      <c r="H7" s="4"/>
      <c r="J7" s="13" t="s">
        <v>195</v>
      </c>
      <c r="K7" s="65"/>
      <c r="L7" s="65"/>
      <c r="M7" s="12"/>
      <c r="N7" s="12"/>
      <c r="O7" s="8"/>
      <c r="P7" s="8"/>
      <c r="Q7" s="9"/>
      <c r="BV7" s="5" t="s">
        <v>196</v>
      </c>
      <c r="BX7" s="5" t="s">
        <v>197</v>
      </c>
      <c r="CF7" s="13"/>
      <c r="CG7" s="13"/>
    </row>
    <row r="8" spans="1:85" ht="4.5" customHeight="1" x14ac:dyDescent="0.35">
      <c r="A8" s="10"/>
      <c r="B8" s="11"/>
      <c r="C8" s="11"/>
      <c r="D8" s="12"/>
      <c r="E8" s="11"/>
      <c r="F8" s="4"/>
      <c r="G8" s="4"/>
      <c r="H8" s="4"/>
      <c r="J8" s="4"/>
      <c r="K8" s="13"/>
      <c r="L8" s="4"/>
      <c r="M8" s="4"/>
      <c r="N8" s="4"/>
      <c r="O8" s="4"/>
      <c r="Q8" s="9"/>
      <c r="BV8" s="4"/>
      <c r="CB8" s="4"/>
      <c r="CF8" s="13"/>
      <c r="CG8" s="13"/>
    </row>
    <row r="9" spans="1:85" ht="19.5" customHeight="1" x14ac:dyDescent="0.35">
      <c r="A9" s="14" t="s">
        <v>198</v>
      </c>
      <c r="B9" s="65"/>
      <c r="C9" s="65"/>
      <c r="D9" s="65"/>
      <c r="E9" s="65"/>
      <c r="F9" s="4"/>
      <c r="G9" s="4"/>
      <c r="H9" s="4"/>
      <c r="J9" s="13" t="s">
        <v>199</v>
      </c>
      <c r="K9" s="65"/>
      <c r="L9" s="65"/>
      <c r="M9" s="12"/>
      <c r="N9" s="12"/>
      <c r="O9" s="8"/>
      <c r="P9" s="8"/>
      <c r="Q9" s="9"/>
      <c r="BW9" s="5" t="s">
        <v>24</v>
      </c>
      <c r="BY9" s="7" t="s">
        <v>25</v>
      </c>
      <c r="CE9" s="7"/>
      <c r="CF9" s="13"/>
      <c r="CG9" s="13"/>
    </row>
    <row r="10" spans="1:85" ht="4.5" customHeight="1" x14ac:dyDescent="0.35">
      <c r="A10" s="10"/>
      <c r="B10" s="11"/>
      <c r="C10" s="11"/>
      <c r="D10" s="12"/>
      <c r="E10" s="11"/>
      <c r="F10" s="4"/>
      <c r="G10" s="4"/>
      <c r="H10" s="4"/>
      <c r="J10" s="4"/>
      <c r="K10" s="13"/>
      <c r="L10" s="4"/>
      <c r="M10" s="4"/>
      <c r="N10" s="4"/>
      <c r="O10" s="4"/>
      <c r="Q10" s="9"/>
      <c r="BW10" s="5" t="s">
        <v>26</v>
      </c>
      <c r="BY10" s="7" t="s">
        <v>200</v>
      </c>
      <c r="CE10" s="7"/>
      <c r="CF10" s="13"/>
      <c r="CG10" s="13"/>
    </row>
    <row r="11" spans="1:85" ht="19.5" customHeight="1" x14ac:dyDescent="0.35">
      <c r="A11" s="14" t="s">
        <v>201</v>
      </c>
      <c r="B11" s="65"/>
      <c r="C11" s="65"/>
      <c r="D11" s="65"/>
      <c r="E11" s="65"/>
      <c r="F11" s="12"/>
      <c r="G11" s="12"/>
      <c r="H11" s="8"/>
      <c r="J11" s="13" t="s">
        <v>202</v>
      </c>
      <c r="K11" s="65"/>
      <c r="L11" s="65"/>
      <c r="M11" s="12"/>
      <c r="N11" s="16"/>
      <c r="O11" s="16"/>
      <c r="P11" s="16"/>
      <c r="Q11" s="9"/>
      <c r="BY11" s="5" t="s">
        <v>203</v>
      </c>
      <c r="CF11" s="13"/>
      <c r="CG11" s="13"/>
    </row>
    <row r="12" spans="1:85" ht="6" customHeight="1" x14ac:dyDescent="0.3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20"/>
      <c r="BY12" s="5" t="s">
        <v>204</v>
      </c>
      <c r="CF12" s="13"/>
      <c r="CG12" s="13"/>
    </row>
    <row r="13" spans="1:85" ht="6" customHeight="1" x14ac:dyDescent="0.35">
      <c r="A13" s="21"/>
      <c r="B13" s="22"/>
      <c r="C13" s="22"/>
      <c r="D13" s="22"/>
      <c r="E13" s="23"/>
      <c r="F13" s="23"/>
      <c r="G13" s="23"/>
      <c r="H13" s="22"/>
      <c r="I13" s="22"/>
      <c r="J13" s="22"/>
      <c r="K13" s="22"/>
      <c r="L13" s="22"/>
      <c r="M13" s="22"/>
      <c r="N13" s="22"/>
      <c r="O13" s="22"/>
      <c r="P13" s="22"/>
      <c r="Q13" s="6"/>
      <c r="BY13" s="7" t="s">
        <v>32</v>
      </c>
      <c r="CE13" s="7"/>
      <c r="CF13" s="13"/>
      <c r="CG13" s="13"/>
    </row>
    <row r="14" spans="1:85" ht="26.25" customHeight="1" x14ac:dyDescent="0.35">
      <c r="A14" s="66" t="s">
        <v>205</v>
      </c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BY14" s="5" t="s">
        <v>34</v>
      </c>
      <c r="CF14" s="13"/>
      <c r="CG14" s="13"/>
    </row>
    <row r="15" spans="1:85" ht="4.5" customHeight="1" x14ac:dyDescent="0.35">
      <c r="A15" s="10"/>
      <c r="B15" s="4"/>
      <c r="C15" s="11"/>
      <c r="D15" s="11"/>
      <c r="E15" s="11"/>
      <c r="I15" s="4"/>
      <c r="J15" s="13"/>
      <c r="K15" s="24"/>
      <c r="Q15" s="9"/>
      <c r="BY15" s="5" t="s">
        <v>206</v>
      </c>
      <c r="CF15" s="13"/>
      <c r="CG15" s="13"/>
    </row>
    <row r="16" spans="1:85" ht="23.25" customHeight="1" x14ac:dyDescent="0.35">
      <c r="A16" s="25" t="s">
        <v>207</v>
      </c>
      <c r="B16" s="26"/>
      <c r="C16" s="26"/>
      <c r="D16" s="26"/>
      <c r="G16" s="27"/>
      <c r="Q16" s="9"/>
      <c r="BY16" s="5" t="s">
        <v>186</v>
      </c>
      <c r="CF16" s="13"/>
      <c r="CG16" s="13"/>
    </row>
    <row r="17" spans="1:85" ht="4.5" customHeight="1" x14ac:dyDescent="0.35">
      <c r="A17" s="10"/>
      <c r="B17" s="4"/>
      <c r="C17" s="11"/>
      <c r="D17" s="11"/>
      <c r="E17" s="11"/>
      <c r="G17" s="27"/>
      <c r="I17" s="4"/>
      <c r="J17" s="13"/>
      <c r="K17" s="24"/>
      <c r="Q17" s="9"/>
      <c r="CF17" s="13"/>
      <c r="CG17" s="13"/>
    </row>
    <row r="18" spans="1:85" x14ac:dyDescent="0.35">
      <c r="A18" s="28" t="s">
        <v>208</v>
      </c>
      <c r="B18" s="29"/>
      <c r="C18" s="29"/>
      <c r="D18" s="29"/>
      <c r="E18" s="29"/>
      <c r="F18" s="29"/>
      <c r="G18" s="30"/>
      <c r="H18" s="31" t="s">
        <v>209</v>
      </c>
      <c r="J18" s="31"/>
      <c r="Q18" s="9"/>
      <c r="BV18" s="5" t="s">
        <v>210</v>
      </c>
      <c r="BX18" s="5" t="s">
        <v>211</v>
      </c>
      <c r="CF18" s="13"/>
      <c r="CG18" s="13"/>
    </row>
    <row r="19" spans="1:85" ht="19.5" customHeight="1" x14ac:dyDescent="0.35">
      <c r="A19" s="10"/>
      <c r="B19" s="1"/>
      <c r="C19" s="11"/>
      <c r="D19" s="12" t="s">
        <v>42</v>
      </c>
      <c r="E19" s="11"/>
      <c r="F19" s="11"/>
      <c r="G19" s="32"/>
      <c r="H19" s="4"/>
      <c r="I19" s="4"/>
      <c r="J19" s="13" t="s">
        <v>212</v>
      </c>
      <c r="K19" s="33"/>
      <c r="L19" s="4"/>
      <c r="M19" s="4"/>
      <c r="N19" s="4"/>
      <c r="O19" s="13" t="s">
        <v>213</v>
      </c>
      <c r="P19" s="34"/>
      <c r="Q19" s="9"/>
      <c r="BV19" s="5" t="s">
        <v>46</v>
      </c>
      <c r="BX19" s="5" t="s">
        <v>214</v>
      </c>
      <c r="CF19" s="13"/>
      <c r="CG19" s="13"/>
    </row>
    <row r="20" spans="1:85" ht="4.5" customHeight="1" x14ac:dyDescent="0.35">
      <c r="A20" s="10"/>
      <c r="B20" s="11"/>
      <c r="C20" s="11"/>
      <c r="D20" s="12"/>
      <c r="E20" s="11"/>
      <c r="F20" s="11"/>
      <c r="G20" s="32"/>
      <c r="H20" s="4"/>
      <c r="I20" s="4"/>
      <c r="J20" s="4"/>
      <c r="K20" s="13"/>
      <c r="L20" s="4"/>
      <c r="M20" s="4"/>
      <c r="N20" s="4"/>
      <c r="O20" s="4"/>
      <c r="Q20" s="9"/>
      <c r="BX20" s="5" t="s">
        <v>48</v>
      </c>
      <c r="CF20" s="13"/>
      <c r="CG20" s="13"/>
    </row>
    <row r="21" spans="1:85" ht="19.5" customHeight="1" x14ac:dyDescent="0.35">
      <c r="A21" s="10"/>
      <c r="B21" s="1"/>
      <c r="C21" s="11"/>
      <c r="D21" s="35" t="s">
        <v>215</v>
      </c>
      <c r="E21" s="11"/>
      <c r="F21" s="11"/>
      <c r="G21" s="32"/>
      <c r="H21" s="4"/>
      <c r="I21" s="4"/>
      <c r="J21" s="13" t="s">
        <v>216</v>
      </c>
      <c r="K21" s="36"/>
      <c r="L21" s="4"/>
      <c r="M21" s="4"/>
      <c r="N21" s="4"/>
      <c r="O21" s="13" t="s">
        <v>217</v>
      </c>
      <c r="P21" s="36"/>
      <c r="Q21" s="9"/>
      <c r="CF21" s="13"/>
      <c r="CG21" s="13"/>
    </row>
    <row r="22" spans="1:85" ht="4.5" customHeight="1" x14ac:dyDescent="0.35">
      <c r="A22" s="10"/>
      <c r="B22" s="11"/>
      <c r="C22" s="11"/>
      <c r="D22" s="12"/>
      <c r="E22" s="11"/>
      <c r="F22" s="11"/>
      <c r="G22" s="32"/>
      <c r="H22" s="11"/>
      <c r="I22" s="4"/>
      <c r="J22" s="11"/>
      <c r="L22" s="4"/>
      <c r="M22" s="4"/>
      <c r="N22" s="4"/>
      <c r="Q22" s="9"/>
      <c r="CF22" s="13"/>
      <c r="CG22" s="13"/>
    </row>
    <row r="23" spans="1:85" ht="19.5" customHeight="1" x14ac:dyDescent="0.35">
      <c r="A23" s="10"/>
      <c r="B23" s="1"/>
      <c r="C23" s="11"/>
      <c r="D23" s="35" t="s">
        <v>218</v>
      </c>
      <c r="E23" s="11"/>
      <c r="F23" s="11"/>
      <c r="G23" s="32"/>
      <c r="H23" s="4"/>
      <c r="I23" s="4"/>
      <c r="J23" s="13" t="s">
        <v>219</v>
      </c>
      <c r="K23" s="36"/>
      <c r="L23" s="13" t="s">
        <v>220</v>
      </c>
      <c r="M23" s="16"/>
      <c r="N23" s="16"/>
      <c r="O23" s="16"/>
      <c r="P23" s="16"/>
      <c r="Q23" s="9"/>
      <c r="CF23" s="13"/>
      <c r="CG23" s="13"/>
    </row>
    <row r="24" spans="1:85" ht="4.5" customHeight="1" x14ac:dyDescent="0.35">
      <c r="A24" s="10"/>
      <c r="B24" s="11"/>
      <c r="C24" s="11"/>
      <c r="D24" s="12"/>
      <c r="E24" s="11"/>
      <c r="F24" s="11"/>
      <c r="G24" s="32"/>
      <c r="H24" s="11"/>
      <c r="I24" s="4"/>
      <c r="J24" s="4"/>
      <c r="K24" s="4"/>
      <c r="L24" s="4"/>
      <c r="M24" s="4"/>
      <c r="N24" s="4"/>
      <c r="O24" s="4"/>
      <c r="Q24" s="9"/>
      <c r="CF24" s="13"/>
      <c r="CG24" s="13"/>
    </row>
    <row r="25" spans="1:85" ht="19.5" customHeight="1" x14ac:dyDescent="0.35">
      <c r="A25" s="10"/>
      <c r="B25" s="1"/>
      <c r="C25" s="11"/>
      <c r="D25" s="35" t="s">
        <v>221</v>
      </c>
      <c r="F25" s="11"/>
      <c r="G25" s="32"/>
      <c r="H25" s="64" t="s">
        <v>222</v>
      </c>
      <c r="I25" s="64"/>
      <c r="J25" s="37"/>
      <c r="K25" s="38"/>
      <c r="L25" s="35"/>
      <c r="M25" s="35"/>
      <c r="N25" s="35"/>
      <c r="O25" s="13" t="s">
        <v>223</v>
      </c>
      <c r="P25" s="33"/>
      <c r="Q25" s="9"/>
      <c r="CF25" s="13"/>
      <c r="CG25" s="13"/>
    </row>
    <row r="26" spans="1:85" ht="4.5" customHeight="1" x14ac:dyDescent="0.35">
      <c r="A26" s="10"/>
      <c r="B26" s="11"/>
      <c r="C26" s="11"/>
      <c r="D26" s="12"/>
      <c r="E26" s="11"/>
      <c r="F26" s="11"/>
      <c r="G26" s="32"/>
      <c r="H26" s="64"/>
      <c r="I26" s="64"/>
      <c r="J26" s="37"/>
      <c r="P26" s="4"/>
      <c r="Q26" s="9"/>
      <c r="CF26" s="13"/>
      <c r="CG26" s="13"/>
    </row>
    <row r="27" spans="1:85" ht="19.5" customHeight="1" x14ac:dyDescent="0.35">
      <c r="A27" s="10"/>
      <c r="B27" s="1"/>
      <c r="C27" s="11"/>
      <c r="D27" s="35" t="s">
        <v>224</v>
      </c>
      <c r="E27" s="11"/>
      <c r="F27" s="11"/>
      <c r="G27" s="32"/>
      <c r="H27" s="64"/>
      <c r="I27" s="64"/>
      <c r="J27" s="37"/>
      <c r="K27" s="38"/>
      <c r="L27" s="13"/>
      <c r="M27" s="13"/>
      <c r="N27" s="13"/>
      <c r="O27" s="13" t="s">
        <v>225</v>
      </c>
      <c r="P27" s="33"/>
      <c r="Q27" s="9"/>
      <c r="CF27" s="13"/>
      <c r="CG27" s="13"/>
    </row>
    <row r="28" spans="1:85" ht="4.5" customHeight="1" x14ac:dyDescent="0.35">
      <c r="A28" s="10"/>
      <c r="B28" s="11"/>
      <c r="C28" s="11"/>
      <c r="E28" s="11"/>
      <c r="F28" s="11"/>
      <c r="G28" s="32"/>
      <c r="H28" s="64"/>
      <c r="I28" s="64"/>
      <c r="J28" s="37"/>
      <c r="L28" s="4"/>
      <c r="M28" s="4"/>
      <c r="N28" s="4"/>
      <c r="O28" s="4"/>
      <c r="P28" s="4"/>
      <c r="Q28" s="9"/>
      <c r="CF28" s="13"/>
      <c r="CG28" s="13"/>
    </row>
    <row r="29" spans="1:85" ht="19.5" customHeight="1" x14ac:dyDescent="0.35">
      <c r="A29" s="10"/>
      <c r="B29" s="1"/>
      <c r="C29" s="11"/>
      <c r="D29" s="35" t="s">
        <v>226</v>
      </c>
      <c r="E29" s="4"/>
      <c r="F29" s="4"/>
      <c r="G29" s="39"/>
      <c r="H29" s="64"/>
      <c r="I29" s="64"/>
      <c r="J29" s="37"/>
      <c r="K29" s="38"/>
      <c r="L29" s="4"/>
      <c r="M29" s="4"/>
      <c r="N29" s="4"/>
      <c r="O29" s="13" t="s">
        <v>227</v>
      </c>
      <c r="P29" s="55"/>
      <c r="Q29" s="9"/>
      <c r="CF29" s="13"/>
      <c r="CG29" s="13"/>
    </row>
    <row r="30" spans="1:85" ht="4.5" customHeight="1" x14ac:dyDescent="0.35">
      <c r="A30" s="10"/>
      <c r="B30" s="11"/>
      <c r="C30" s="11"/>
      <c r="D30" s="12"/>
      <c r="E30" s="11"/>
      <c r="F30" s="11"/>
      <c r="G30" s="32"/>
      <c r="H30" s="64"/>
      <c r="I30" s="64"/>
      <c r="J30" s="37"/>
      <c r="K30" s="11"/>
      <c r="L30" s="4"/>
      <c r="M30" s="4"/>
      <c r="N30" s="4"/>
      <c r="O30" s="11"/>
      <c r="P30" s="4"/>
      <c r="Q30" s="9"/>
      <c r="CF30" s="13"/>
      <c r="CG30" s="13"/>
    </row>
    <row r="31" spans="1:85" ht="19.5" customHeight="1" x14ac:dyDescent="0.35">
      <c r="A31" s="10"/>
      <c r="B31" s="1"/>
      <c r="C31" s="11"/>
      <c r="D31" s="35" t="s">
        <v>228</v>
      </c>
      <c r="E31" s="13"/>
      <c r="F31" s="13"/>
      <c r="G31" s="41"/>
      <c r="H31" s="64"/>
      <c r="I31" s="64"/>
      <c r="J31" s="37"/>
      <c r="K31" s="38"/>
      <c r="L31" s="4"/>
      <c r="M31" s="4"/>
      <c r="N31" s="4"/>
      <c r="O31" s="11"/>
      <c r="P31" s="42" t="s">
        <v>65</v>
      </c>
      <c r="Q31" s="9"/>
      <c r="BW31" s="5" t="s">
        <v>45</v>
      </c>
      <c r="CF31" s="13"/>
      <c r="CG31" s="13"/>
    </row>
    <row r="32" spans="1:85" ht="4.5" customHeight="1" x14ac:dyDescent="0.35">
      <c r="A32" s="10"/>
      <c r="B32" s="11"/>
      <c r="C32" s="11"/>
      <c r="D32" s="12"/>
      <c r="E32" s="11"/>
      <c r="F32" s="11"/>
      <c r="G32" s="32"/>
      <c r="H32" s="64"/>
      <c r="I32" s="64"/>
      <c r="J32" s="37"/>
      <c r="L32" s="4"/>
      <c r="M32" s="4"/>
      <c r="N32" s="4"/>
      <c r="O32" s="4"/>
      <c r="P32" s="4"/>
      <c r="Q32" s="9"/>
      <c r="BW32" s="5" t="s">
        <v>66</v>
      </c>
      <c r="CF32" s="13"/>
      <c r="CG32" s="13"/>
    </row>
    <row r="33" spans="1:85" ht="19.5" customHeight="1" x14ac:dyDescent="0.35">
      <c r="A33" s="10"/>
      <c r="B33" s="11"/>
      <c r="C33" s="11"/>
      <c r="D33" s="16"/>
      <c r="E33" s="16"/>
      <c r="F33" s="4"/>
      <c r="G33" s="39"/>
      <c r="H33" s="64"/>
      <c r="I33" s="64"/>
      <c r="J33" s="37"/>
      <c r="K33" s="38"/>
      <c r="L33" s="4"/>
      <c r="M33" s="4"/>
      <c r="N33" s="4"/>
      <c r="O33" s="13" t="s">
        <v>229</v>
      </c>
      <c r="P33" s="33"/>
      <c r="Q33" s="9"/>
      <c r="BW33" s="5" t="s">
        <v>230</v>
      </c>
      <c r="CF33" s="13"/>
      <c r="CG33" s="13"/>
    </row>
    <row r="34" spans="1:85" ht="15" customHeight="1" x14ac:dyDescent="0.35">
      <c r="A34" s="10"/>
      <c r="B34" s="11"/>
      <c r="C34" s="11"/>
      <c r="D34" s="12"/>
      <c r="E34" s="11"/>
      <c r="F34" s="11"/>
      <c r="G34" s="11"/>
      <c r="H34" s="11"/>
      <c r="I34" s="11"/>
      <c r="J34" s="11"/>
      <c r="O34" s="11"/>
      <c r="P34" s="11"/>
      <c r="Q34" s="9"/>
      <c r="CF34" s="13"/>
      <c r="CG34" s="13"/>
    </row>
    <row r="35" spans="1:85" ht="26.25" customHeight="1" x14ac:dyDescent="0.35">
      <c r="A35" s="10" t="s">
        <v>231</v>
      </c>
      <c r="B35" s="71"/>
      <c r="C35" s="71"/>
      <c r="D35" s="71"/>
      <c r="E35" s="71"/>
      <c r="F35" s="71"/>
      <c r="G35" s="71"/>
      <c r="H35" s="71"/>
      <c r="I35" s="71"/>
      <c r="J35" s="11"/>
      <c r="O35" s="13" t="s">
        <v>232</v>
      </c>
      <c r="P35" s="36"/>
      <c r="Q35" s="9"/>
      <c r="CF35" s="13"/>
      <c r="CG35" s="13"/>
    </row>
    <row r="36" spans="1:85" ht="6" customHeight="1" x14ac:dyDescent="0.35">
      <c r="A36" s="18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20"/>
      <c r="CF36" s="13"/>
      <c r="CG36" s="13"/>
    </row>
    <row r="37" spans="1:85" ht="4.5" customHeight="1" x14ac:dyDescent="0.35">
      <c r="A37" s="10"/>
      <c r="B37" s="4"/>
      <c r="C37" s="11"/>
      <c r="D37" s="11"/>
      <c r="E37" s="11"/>
      <c r="I37" s="4"/>
      <c r="J37" s="13"/>
      <c r="K37" s="24"/>
      <c r="Q37" s="9"/>
      <c r="CF37" s="13"/>
      <c r="CG37" s="13"/>
    </row>
    <row r="38" spans="1:85" ht="23.25" customHeight="1" x14ac:dyDescent="0.35">
      <c r="A38" s="25" t="s">
        <v>233</v>
      </c>
      <c r="B38" s="26"/>
      <c r="C38" s="26"/>
      <c r="D38" s="26"/>
      <c r="Q38" s="9"/>
      <c r="BV38" s="44" t="s">
        <v>234</v>
      </c>
      <c r="CB38" s="44"/>
      <c r="CF38" s="13"/>
      <c r="CG38" s="13"/>
    </row>
    <row r="39" spans="1:85" ht="4.5" customHeight="1" x14ac:dyDescent="0.35">
      <c r="A39" s="10"/>
      <c r="B39" s="4"/>
      <c r="C39" s="11"/>
      <c r="D39" s="11"/>
      <c r="E39" s="11"/>
      <c r="I39" s="4"/>
      <c r="J39" s="13"/>
      <c r="K39" s="24"/>
      <c r="Q39" s="9"/>
      <c r="BW39" s="5" t="s">
        <v>80</v>
      </c>
      <c r="CF39" s="13"/>
      <c r="CG39" s="13"/>
    </row>
    <row r="40" spans="1:85" ht="19.5" customHeight="1" x14ac:dyDescent="0.35">
      <c r="A40" s="45"/>
      <c r="D40" s="13" t="s">
        <v>235</v>
      </c>
      <c r="E40" s="34"/>
      <c r="J40" s="13" t="s">
        <v>236</v>
      </c>
      <c r="K40" s="2"/>
      <c r="L40" s="56" t="s">
        <v>237</v>
      </c>
      <c r="M40" s="46"/>
      <c r="N40" s="46"/>
      <c r="Q40" s="9"/>
      <c r="BV40" s="44"/>
      <c r="BW40" s="5" t="s">
        <v>238</v>
      </c>
      <c r="CB40" s="44"/>
      <c r="CF40" s="13"/>
      <c r="CG40" s="13"/>
    </row>
    <row r="41" spans="1:85" ht="4.5" customHeight="1" x14ac:dyDescent="0.35">
      <c r="A41" s="10"/>
      <c r="B41" s="4"/>
      <c r="C41" s="11"/>
      <c r="D41" s="11"/>
      <c r="E41" s="11"/>
      <c r="I41" s="4"/>
      <c r="J41" s="13"/>
      <c r="K41" s="24"/>
      <c r="L41" s="57"/>
      <c r="Q41" s="9"/>
      <c r="BW41" s="5" t="s">
        <v>239</v>
      </c>
      <c r="CF41" s="13"/>
      <c r="CG41" s="13"/>
    </row>
    <row r="42" spans="1:85" ht="19.5" customHeight="1" x14ac:dyDescent="0.35">
      <c r="A42" s="47"/>
      <c r="D42" s="13" t="s">
        <v>240</v>
      </c>
      <c r="E42" s="1"/>
      <c r="F42" s="2"/>
      <c r="J42" s="13" t="s">
        <v>241</v>
      </c>
      <c r="K42" s="2"/>
      <c r="L42" s="58" t="s">
        <v>242</v>
      </c>
      <c r="M42" s="46"/>
      <c r="N42" s="46"/>
      <c r="Q42" s="9"/>
      <c r="BV42" s="44"/>
      <c r="BW42" s="5" t="s">
        <v>243</v>
      </c>
      <c r="CB42" s="44"/>
      <c r="CF42" s="13"/>
      <c r="CG42" s="13"/>
    </row>
    <row r="43" spans="1:85" ht="4.5" customHeight="1" x14ac:dyDescent="0.35">
      <c r="A43" s="10"/>
      <c r="B43" s="4"/>
      <c r="C43" s="11"/>
      <c r="D43" s="11"/>
      <c r="I43" s="4"/>
      <c r="J43" s="13"/>
      <c r="K43" s="24"/>
      <c r="L43" s="57"/>
      <c r="Q43" s="9"/>
      <c r="BW43" s="5" t="s">
        <v>244</v>
      </c>
      <c r="CF43" s="13"/>
      <c r="CG43" s="13"/>
    </row>
    <row r="44" spans="1:85" ht="19.5" customHeight="1" x14ac:dyDescent="0.35">
      <c r="A44" s="47"/>
      <c r="D44" s="13" t="s">
        <v>245</v>
      </c>
      <c r="E44" s="2"/>
      <c r="J44" s="13" t="s">
        <v>246</v>
      </c>
      <c r="K44" s="2"/>
      <c r="L44" s="57"/>
      <c r="Q44" s="9"/>
      <c r="BV44" s="44"/>
      <c r="BW44" s="5" t="s">
        <v>247</v>
      </c>
      <c r="CB44" s="44"/>
      <c r="CF44" s="13"/>
      <c r="CG44" s="13"/>
    </row>
    <row r="45" spans="1:85" ht="4.5" customHeight="1" x14ac:dyDescent="0.35">
      <c r="A45" s="10"/>
      <c r="B45" s="4"/>
      <c r="C45" s="11"/>
      <c r="D45" s="11"/>
      <c r="E45" s="11"/>
      <c r="I45" s="4"/>
      <c r="J45" s="13"/>
      <c r="K45" s="24"/>
      <c r="L45" s="57"/>
      <c r="Q45" s="9"/>
      <c r="BW45" s="5" t="s">
        <v>248</v>
      </c>
      <c r="CF45" s="13"/>
      <c r="CG45" s="13"/>
    </row>
    <row r="46" spans="1:85" ht="19.5" customHeight="1" x14ac:dyDescent="0.35">
      <c r="A46" s="47"/>
      <c r="B46" s="26"/>
      <c r="C46" s="26"/>
      <c r="D46" s="13" t="s">
        <v>249</v>
      </c>
      <c r="E46" s="2"/>
      <c r="J46" s="13" t="s">
        <v>250</v>
      </c>
      <c r="K46" s="2"/>
      <c r="L46" s="57"/>
      <c r="Q46" s="9"/>
      <c r="BV46" s="44"/>
      <c r="BW46" s="5" t="s">
        <v>251</v>
      </c>
      <c r="CB46" s="44"/>
      <c r="CF46" s="13"/>
      <c r="CG46" s="13"/>
    </row>
    <row r="47" spans="1:85" ht="4.5" customHeight="1" x14ac:dyDescent="0.35">
      <c r="A47" s="10"/>
      <c r="B47" s="4"/>
      <c r="C47" s="11"/>
      <c r="D47" s="11"/>
      <c r="E47" s="11"/>
      <c r="L47" s="57"/>
      <c r="Q47" s="9"/>
      <c r="BW47" s="5" t="s">
        <v>252</v>
      </c>
      <c r="CF47" s="13"/>
      <c r="CG47" s="13"/>
    </row>
    <row r="48" spans="1:85" ht="19.5" customHeight="1" x14ac:dyDescent="0.35">
      <c r="A48" s="47"/>
      <c r="B48" s="26"/>
      <c r="C48" s="26"/>
      <c r="D48" s="14" t="s">
        <v>253</v>
      </c>
      <c r="E48" s="2"/>
      <c r="J48" s="13" t="s">
        <v>254</v>
      </c>
      <c r="K48" s="2"/>
      <c r="L48" s="24" t="s">
        <v>220</v>
      </c>
      <c r="M48" s="16"/>
      <c r="N48" s="16"/>
      <c r="O48" s="16"/>
      <c r="P48" s="16"/>
      <c r="Q48" s="9"/>
      <c r="BV48" s="44"/>
      <c r="CB48" s="44"/>
      <c r="CF48" s="13"/>
      <c r="CG48" s="13"/>
    </row>
    <row r="49" spans="1:85" ht="4.5" customHeight="1" x14ac:dyDescent="0.35">
      <c r="A49" s="10"/>
      <c r="B49" s="4"/>
      <c r="C49" s="11"/>
      <c r="D49" s="11"/>
      <c r="E49" s="11"/>
      <c r="Q49" s="9"/>
      <c r="CF49" s="13"/>
      <c r="CG49" s="13"/>
    </row>
    <row r="50" spans="1:85" ht="19.5" customHeight="1" x14ac:dyDescent="0.35">
      <c r="A50" s="47"/>
      <c r="B50" s="26"/>
      <c r="C50" s="26"/>
      <c r="D50" s="13" t="s">
        <v>255</v>
      </c>
      <c r="E50" s="2"/>
      <c r="Q50" s="9"/>
      <c r="BV50" s="44"/>
      <c r="CB50" s="44"/>
      <c r="CF50" s="13"/>
      <c r="CG50" s="13"/>
    </row>
    <row r="51" spans="1:85" ht="6" customHeight="1" x14ac:dyDescent="0.35">
      <c r="A51" s="18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0"/>
      <c r="CF51" s="13"/>
      <c r="CG51" s="13"/>
    </row>
    <row r="52" spans="1:85" ht="4.5" customHeight="1" x14ac:dyDescent="0.35">
      <c r="A52" s="10"/>
      <c r="B52" s="4"/>
      <c r="C52" s="11"/>
      <c r="D52" s="11"/>
      <c r="E52" s="11"/>
      <c r="I52" s="4"/>
      <c r="J52" s="13"/>
      <c r="K52" s="24"/>
      <c r="Q52" s="9"/>
      <c r="CF52" s="13"/>
      <c r="CG52" s="13"/>
    </row>
    <row r="53" spans="1:85" ht="23.25" customHeight="1" x14ac:dyDescent="0.35">
      <c r="A53" s="25" t="s">
        <v>256</v>
      </c>
      <c r="B53" s="26"/>
      <c r="C53" s="26"/>
      <c r="D53" s="26"/>
      <c r="Q53" s="9"/>
      <c r="BV53" s="5" t="s">
        <v>257</v>
      </c>
      <c r="BW53" s="5" t="s">
        <v>258</v>
      </c>
      <c r="BX53" s="5" t="s">
        <v>259</v>
      </c>
      <c r="CF53" s="13"/>
      <c r="CG53" s="13"/>
    </row>
    <row r="54" spans="1:85" ht="4.5" customHeight="1" x14ac:dyDescent="0.35">
      <c r="A54" s="10"/>
      <c r="B54" s="4"/>
      <c r="C54" s="11"/>
      <c r="D54" s="11"/>
      <c r="E54" s="11"/>
      <c r="I54" s="4"/>
      <c r="J54" s="13"/>
      <c r="K54" s="24"/>
      <c r="Q54" s="9"/>
      <c r="BV54" s="5" t="s">
        <v>260</v>
      </c>
      <c r="BW54" s="5" t="s">
        <v>261</v>
      </c>
      <c r="BX54" s="5" t="s">
        <v>262</v>
      </c>
      <c r="CF54" s="13"/>
      <c r="CG54" s="13"/>
    </row>
    <row r="55" spans="1:85" x14ac:dyDescent="0.35">
      <c r="A55" s="50"/>
      <c r="C55" s="13"/>
      <c r="D55" s="13" t="s">
        <v>263</v>
      </c>
      <c r="E55" s="2"/>
      <c r="F55" s="13"/>
      <c r="G55" s="13"/>
      <c r="J55" s="13" t="s">
        <v>264</v>
      </c>
      <c r="K55" s="2"/>
      <c r="Q55" s="9"/>
      <c r="BW55" s="5" t="s">
        <v>186</v>
      </c>
      <c r="BX55" s="5" t="s">
        <v>117</v>
      </c>
      <c r="CF55" s="13"/>
      <c r="CG55" s="13"/>
    </row>
    <row r="56" spans="1:85" ht="4.5" customHeight="1" x14ac:dyDescent="0.35">
      <c r="A56" s="10"/>
      <c r="B56" s="4"/>
      <c r="C56" s="11"/>
      <c r="D56" s="11"/>
      <c r="E56" s="11"/>
      <c r="I56" s="4"/>
      <c r="J56" s="13"/>
      <c r="K56" s="24"/>
      <c r="Q56" s="9"/>
      <c r="BX56" s="5" t="s">
        <v>186</v>
      </c>
      <c r="CF56" s="13"/>
      <c r="CG56" s="13"/>
    </row>
    <row r="57" spans="1:85" x14ac:dyDescent="0.35">
      <c r="A57" s="51"/>
      <c r="D57" s="13" t="s">
        <v>265</v>
      </c>
      <c r="E57" s="2"/>
      <c r="J57" s="13" t="s">
        <v>266</v>
      </c>
      <c r="K57" s="33"/>
      <c r="L57" s="24" t="s">
        <v>220</v>
      </c>
      <c r="M57" s="16"/>
      <c r="N57" s="16"/>
      <c r="O57" s="16"/>
      <c r="P57" s="52"/>
      <c r="Q57" s="9"/>
      <c r="BX57" s="4"/>
      <c r="CD57" s="4"/>
      <c r="CF57" s="13"/>
      <c r="CG57" s="13"/>
    </row>
    <row r="58" spans="1:85" ht="6" customHeight="1" x14ac:dyDescent="0.35">
      <c r="A58" s="18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20"/>
      <c r="CF58" s="13"/>
      <c r="CG58" s="13"/>
    </row>
    <row r="59" spans="1:85" ht="4.5" customHeight="1" x14ac:dyDescent="0.35">
      <c r="A59" s="10"/>
      <c r="B59" s="4"/>
      <c r="C59" s="11"/>
      <c r="D59" s="11"/>
      <c r="E59" s="11"/>
      <c r="I59" s="4"/>
      <c r="J59" s="13"/>
      <c r="K59" s="24"/>
      <c r="Q59" s="9"/>
      <c r="CF59" s="13"/>
      <c r="CG59" s="13"/>
    </row>
    <row r="60" spans="1:85" ht="23.25" customHeight="1" x14ac:dyDescent="0.35">
      <c r="A60" s="25" t="s">
        <v>267</v>
      </c>
      <c r="B60" s="26"/>
      <c r="C60" s="26"/>
      <c r="D60" s="26"/>
      <c r="Q60" s="9"/>
      <c r="BV60" s="5" t="s">
        <v>268</v>
      </c>
      <c r="CF60" s="13"/>
      <c r="CG60" s="13"/>
    </row>
    <row r="61" spans="1:85" ht="4.5" customHeight="1" x14ac:dyDescent="0.35">
      <c r="A61" s="10"/>
      <c r="B61" s="4"/>
      <c r="C61" s="11"/>
      <c r="D61" s="11"/>
      <c r="E61" s="11"/>
      <c r="I61" s="4"/>
      <c r="J61" s="13"/>
      <c r="K61" s="24"/>
      <c r="Q61" s="9"/>
      <c r="BV61" s="5" t="s">
        <v>269</v>
      </c>
      <c r="CF61" s="13"/>
      <c r="CG61" s="13"/>
    </row>
    <row r="62" spans="1:85" x14ac:dyDescent="0.35">
      <c r="A62" s="51"/>
      <c r="D62" s="14" t="s">
        <v>270</v>
      </c>
      <c r="E62" s="33"/>
      <c r="I62" s="13"/>
      <c r="J62" s="13" t="s">
        <v>271</v>
      </c>
      <c r="K62" s="33"/>
      <c r="O62" s="13" t="s">
        <v>272</v>
      </c>
      <c r="P62" s="2"/>
      <c r="Q62" s="9"/>
      <c r="BV62" s="5" t="s">
        <v>273</v>
      </c>
      <c r="CF62" s="13"/>
      <c r="CG62" s="13"/>
    </row>
    <row r="63" spans="1:85" ht="4.5" customHeight="1" x14ac:dyDescent="0.35">
      <c r="A63" s="10"/>
      <c r="B63" s="11"/>
      <c r="C63" s="11"/>
      <c r="E63" s="11"/>
      <c r="I63" s="4"/>
      <c r="K63" s="13"/>
      <c r="L63" s="4"/>
      <c r="M63" s="4"/>
      <c r="O63" s="4"/>
      <c r="Q63" s="9"/>
      <c r="CF63" s="13"/>
      <c r="CG63" s="13"/>
    </row>
    <row r="64" spans="1:85" x14ac:dyDescent="0.35">
      <c r="A64" s="51"/>
      <c r="D64" s="14" t="s">
        <v>274</v>
      </c>
      <c r="E64" s="33"/>
      <c r="J64" s="13" t="s">
        <v>275</v>
      </c>
      <c r="K64" s="33"/>
      <c r="O64" s="13" t="s">
        <v>276</v>
      </c>
      <c r="P64" s="34"/>
      <c r="Q64" s="9"/>
      <c r="CF64" s="13"/>
      <c r="CG64" s="13"/>
    </row>
    <row r="65" spans="1:85" ht="4.5" customHeight="1" x14ac:dyDescent="0.35">
      <c r="A65" s="10"/>
      <c r="B65" s="11"/>
      <c r="C65" s="11"/>
      <c r="E65" s="11"/>
      <c r="I65" s="4"/>
      <c r="K65" s="13"/>
      <c r="L65" s="4"/>
      <c r="M65" s="4"/>
      <c r="N65" s="4"/>
      <c r="Q65" s="9"/>
      <c r="CF65" s="13"/>
      <c r="CG65" s="13"/>
    </row>
    <row r="66" spans="1:85" x14ac:dyDescent="0.35">
      <c r="A66" s="51"/>
      <c r="D66" s="14" t="s">
        <v>277</v>
      </c>
      <c r="E66" s="33"/>
      <c r="J66" s="13" t="s">
        <v>278</v>
      </c>
      <c r="K66" s="33"/>
      <c r="Q66" s="9"/>
      <c r="CF66" s="13"/>
      <c r="CG66" s="13"/>
    </row>
    <row r="67" spans="1:85" ht="6" customHeight="1" x14ac:dyDescent="0.35">
      <c r="A67" s="1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0"/>
      <c r="CF67" s="13"/>
      <c r="CG67" s="13"/>
    </row>
    <row r="68" spans="1:85" ht="4.5" customHeight="1" x14ac:dyDescent="0.35">
      <c r="A68" s="10"/>
      <c r="B68" s="4"/>
      <c r="C68" s="11"/>
      <c r="D68" s="11"/>
      <c r="E68" s="11"/>
      <c r="I68" s="4"/>
      <c r="J68" s="13"/>
      <c r="K68" s="24"/>
      <c r="Q68" s="9"/>
      <c r="CF68" s="13"/>
      <c r="CG68" s="13"/>
    </row>
    <row r="69" spans="1:85" ht="18.75" customHeight="1" x14ac:dyDescent="0.35">
      <c r="A69" s="53" t="s">
        <v>279</v>
      </c>
      <c r="B69" s="26"/>
      <c r="C69" s="26"/>
      <c r="E69" s="59" t="s">
        <v>280</v>
      </c>
      <c r="I69" s="13" t="s">
        <v>281</v>
      </c>
      <c r="J69" s="33"/>
      <c r="M69" s="13" t="s">
        <v>282</v>
      </c>
      <c r="N69" s="60"/>
      <c r="O69" s="60"/>
      <c r="P69" s="60"/>
      <c r="Q69" s="9"/>
      <c r="CF69" s="13"/>
      <c r="CG69" s="13"/>
    </row>
    <row r="70" spans="1:85" ht="4.5" customHeight="1" x14ac:dyDescent="0.35">
      <c r="A70" s="10"/>
      <c r="B70" s="4"/>
      <c r="C70" s="11"/>
      <c r="D70" s="11"/>
      <c r="E70" s="11"/>
      <c r="I70" s="4"/>
      <c r="J70" s="13"/>
      <c r="K70" s="24"/>
      <c r="Q70" s="9"/>
      <c r="CF70" s="13"/>
      <c r="CG70" s="13"/>
    </row>
    <row r="71" spans="1:85" x14ac:dyDescent="0.35">
      <c r="A71" s="14" t="s">
        <v>283</v>
      </c>
      <c r="B71" s="33"/>
      <c r="C71" s="26"/>
      <c r="D71" s="26"/>
      <c r="F71" s="13" t="s">
        <v>284</v>
      </c>
      <c r="G71" s="33"/>
      <c r="I71" s="13" t="s">
        <v>285</v>
      </c>
      <c r="J71" s="33"/>
      <c r="M71" s="13" t="s">
        <v>286</v>
      </c>
      <c r="N71" s="60"/>
      <c r="O71" s="60"/>
      <c r="Q71" s="9"/>
      <c r="CF71" s="13"/>
      <c r="CG71" s="13"/>
    </row>
    <row r="72" spans="1:85" ht="4.5" customHeight="1" x14ac:dyDescent="0.35">
      <c r="A72" s="10"/>
      <c r="B72" s="11"/>
      <c r="C72" s="11"/>
      <c r="E72" s="11"/>
      <c r="I72" s="4"/>
      <c r="K72" s="13"/>
      <c r="L72" s="4"/>
      <c r="M72" s="4"/>
      <c r="N72" s="4"/>
      <c r="Q72" s="9"/>
      <c r="CF72" s="13"/>
      <c r="CG72" s="13"/>
    </row>
    <row r="73" spans="1:85" x14ac:dyDescent="0.35">
      <c r="A73" s="14" t="s">
        <v>287</v>
      </c>
      <c r="B73" s="33"/>
      <c r="C73" s="26"/>
      <c r="D73" s="26"/>
      <c r="F73" s="14" t="s">
        <v>288</v>
      </c>
      <c r="G73" s="33"/>
      <c r="I73" s="13" t="s">
        <v>289</v>
      </c>
      <c r="J73" s="33"/>
      <c r="M73" s="13" t="s">
        <v>290</v>
      </c>
      <c r="N73" s="60"/>
      <c r="O73" s="60"/>
      <c r="Q73" s="9"/>
      <c r="CF73" s="13"/>
      <c r="CG73" s="13"/>
    </row>
    <row r="74" spans="1:85" ht="4.5" customHeight="1" x14ac:dyDescent="0.35">
      <c r="A74" s="10"/>
      <c r="B74" s="11"/>
      <c r="C74" s="11"/>
      <c r="E74" s="11"/>
      <c r="I74" s="13"/>
      <c r="J74" s="4"/>
      <c r="K74" s="13"/>
      <c r="L74" s="4"/>
      <c r="M74" s="4"/>
      <c r="N74" s="4"/>
      <c r="Q74" s="9"/>
      <c r="CF74" s="13"/>
      <c r="CG74" s="13"/>
    </row>
    <row r="75" spans="1:85" x14ac:dyDescent="0.35">
      <c r="A75" s="14" t="s">
        <v>291</v>
      </c>
      <c r="B75" s="33"/>
      <c r="C75" s="26"/>
      <c r="D75" s="26"/>
      <c r="F75" s="13" t="s">
        <v>292</v>
      </c>
      <c r="G75" s="33"/>
      <c r="I75" s="13" t="s">
        <v>293</v>
      </c>
      <c r="J75" s="33"/>
      <c r="K75" s="13"/>
      <c r="M75" s="13" t="s">
        <v>294</v>
      </c>
      <c r="N75" s="60"/>
      <c r="O75" s="60"/>
      <c r="P75" s="13"/>
      <c r="Q75" s="9"/>
      <c r="CF75" s="13"/>
      <c r="CG75" s="13"/>
    </row>
    <row r="76" spans="1:85" ht="4.5" customHeight="1" x14ac:dyDescent="0.35">
      <c r="A76" s="14"/>
      <c r="B76" s="4"/>
      <c r="C76" s="11"/>
      <c r="D76" s="12"/>
      <c r="E76" s="11"/>
      <c r="F76" s="13"/>
      <c r="I76" s="4"/>
      <c r="K76" s="13"/>
      <c r="L76" s="4"/>
      <c r="M76" s="4"/>
      <c r="P76" s="49"/>
      <c r="Q76" s="9"/>
      <c r="CF76" s="13"/>
      <c r="CG76" s="13"/>
    </row>
    <row r="77" spans="1:85" x14ac:dyDescent="0.35">
      <c r="A77" s="14" t="s">
        <v>295</v>
      </c>
      <c r="B77" s="33"/>
      <c r="F77" s="13" t="s">
        <v>296</v>
      </c>
      <c r="G77" s="33"/>
      <c r="I77" s="13" t="s">
        <v>223</v>
      </c>
      <c r="J77" s="33"/>
      <c r="M77" s="13" t="s">
        <v>297</v>
      </c>
      <c r="N77" s="60"/>
      <c r="O77" s="60"/>
      <c r="P77" s="13"/>
      <c r="Q77" s="9"/>
      <c r="CF77" s="13"/>
      <c r="CG77" s="13"/>
    </row>
    <row r="78" spans="1:85" ht="4.5" customHeight="1" x14ac:dyDescent="0.35">
      <c r="A78" s="14"/>
      <c r="B78" s="4"/>
      <c r="C78" s="11"/>
      <c r="E78" s="11"/>
      <c r="F78" s="13"/>
      <c r="I78" s="4"/>
      <c r="J78" s="4"/>
      <c r="K78" s="13"/>
      <c r="L78" s="4"/>
      <c r="M78" s="4"/>
      <c r="N78" s="13"/>
      <c r="Q78" s="9"/>
      <c r="CF78" s="13"/>
      <c r="CG78" s="13"/>
    </row>
    <row r="79" spans="1:85" x14ac:dyDescent="0.35">
      <c r="A79" s="14" t="s">
        <v>298</v>
      </c>
      <c r="B79" s="33"/>
      <c r="F79" s="13" t="s">
        <v>299</v>
      </c>
      <c r="G79" s="33"/>
      <c r="H79" s="13"/>
      <c r="I79" s="13" t="s">
        <v>300</v>
      </c>
      <c r="J79" s="33"/>
      <c r="M79" s="13" t="s">
        <v>301</v>
      </c>
      <c r="N79" s="33"/>
      <c r="P79" s="13"/>
      <c r="Q79" s="9"/>
      <c r="CF79" s="13"/>
      <c r="CG79" s="13"/>
    </row>
    <row r="80" spans="1:85" ht="6" customHeight="1" x14ac:dyDescent="0.35">
      <c r="A80" s="18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  <c r="CF80" s="13"/>
      <c r="CG80" s="13"/>
    </row>
    <row r="81" spans="1:85" ht="4.5" customHeight="1" x14ac:dyDescent="0.35">
      <c r="A81" s="10"/>
      <c r="B81" s="4"/>
      <c r="C81" s="11"/>
      <c r="D81" s="11"/>
      <c r="E81" s="11"/>
      <c r="I81" s="4"/>
      <c r="J81" s="13"/>
      <c r="K81" s="24"/>
      <c r="Q81" s="9"/>
      <c r="CF81" s="13"/>
      <c r="CG81" s="13"/>
    </row>
    <row r="82" spans="1:85" ht="48.75" customHeight="1" x14ac:dyDescent="0.35">
      <c r="A82" s="70" t="s">
        <v>302</v>
      </c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CF82" s="13"/>
      <c r="CG82" s="13"/>
    </row>
    <row r="83" spans="1:85" ht="6" customHeight="1" x14ac:dyDescent="0.35">
      <c r="A83" s="51"/>
      <c r="Q83" s="9"/>
      <c r="CF83" s="13"/>
      <c r="CG83" s="13"/>
    </row>
    <row r="84" spans="1:85" ht="14.25" customHeight="1" x14ac:dyDescent="0.35">
      <c r="A84" s="14" t="s">
        <v>303</v>
      </c>
      <c r="B84" s="33"/>
      <c r="F84" s="13" t="s">
        <v>304</v>
      </c>
      <c r="G84" s="33"/>
      <c r="H84" s="13" t="s">
        <v>305</v>
      </c>
      <c r="I84" s="60"/>
      <c r="J84" s="60"/>
      <c r="K84" s="60"/>
      <c r="L84" s="60"/>
      <c r="M84" s="60"/>
      <c r="N84" s="60"/>
      <c r="O84" s="60"/>
      <c r="P84" s="60"/>
      <c r="Q84" s="9"/>
      <c r="CF84" s="13"/>
      <c r="CG84" s="13"/>
    </row>
    <row r="85" spans="1:85" ht="4.5" customHeight="1" x14ac:dyDescent="0.35">
      <c r="A85" s="10"/>
      <c r="B85" s="11"/>
      <c r="C85" s="11"/>
      <c r="E85" s="4"/>
      <c r="F85" s="49"/>
      <c r="G85" s="11"/>
      <c r="I85" s="60"/>
      <c r="J85" s="60"/>
      <c r="K85" s="60"/>
      <c r="L85" s="60"/>
      <c r="M85" s="60"/>
      <c r="N85" s="60"/>
      <c r="O85" s="60"/>
      <c r="P85" s="60"/>
      <c r="Q85" s="9"/>
      <c r="CF85" s="13"/>
      <c r="CG85" s="13"/>
    </row>
    <row r="86" spans="1:85" x14ac:dyDescent="0.35">
      <c r="A86" s="14" t="s">
        <v>306</v>
      </c>
      <c r="B86" s="33"/>
      <c r="F86" s="13" t="s">
        <v>307</v>
      </c>
      <c r="G86" s="33"/>
      <c r="I86" s="60"/>
      <c r="J86" s="60"/>
      <c r="K86" s="60"/>
      <c r="L86" s="60"/>
      <c r="M86" s="60"/>
      <c r="N86" s="60"/>
      <c r="O86" s="60"/>
      <c r="P86" s="60"/>
      <c r="Q86" s="9"/>
      <c r="CF86" s="13"/>
      <c r="CG86" s="13"/>
    </row>
    <row r="87" spans="1:85" ht="6" customHeight="1" x14ac:dyDescent="0.35">
      <c r="A87" s="18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0"/>
      <c r="CF87" s="13"/>
      <c r="CG87" s="13"/>
    </row>
    <row r="88" spans="1:85" ht="6" customHeight="1" x14ac:dyDescent="0.35">
      <c r="A88" s="51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Y88" s="7"/>
      <c r="CE88" s="7"/>
      <c r="CF88" s="13"/>
      <c r="CG88" s="13"/>
    </row>
    <row r="89" spans="1:85" x14ac:dyDescent="0.35">
      <c r="CF89" s="13"/>
      <c r="CG89" s="13"/>
    </row>
    <row r="90" spans="1:85" ht="23.25" customHeight="1" x14ac:dyDescent="0.35">
      <c r="A90" s="63"/>
      <c r="B90" s="63"/>
      <c r="C90" s="63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63"/>
      <c r="O90" s="63"/>
      <c r="P90" s="63"/>
      <c r="CF90" s="13"/>
      <c r="CG90" s="13"/>
    </row>
    <row r="91" spans="1:85" x14ac:dyDescent="0.35">
      <c r="BV91" s="5" t="s">
        <v>308</v>
      </c>
      <c r="CF91" s="13"/>
      <c r="CG91" s="13"/>
    </row>
    <row r="92" spans="1:85" x14ac:dyDescent="0.35">
      <c r="BV92" s="5" t="s">
        <v>309</v>
      </c>
      <c r="CF92" s="13"/>
      <c r="CG92" s="13"/>
    </row>
    <row r="93" spans="1:85" x14ac:dyDescent="0.35">
      <c r="BV93" s="5" t="s">
        <v>310</v>
      </c>
      <c r="CF93" s="13"/>
      <c r="CG93" s="13"/>
    </row>
    <row r="94" spans="1:85" x14ac:dyDescent="0.35">
      <c r="BV94" s="5" t="s">
        <v>311</v>
      </c>
      <c r="CF94" s="13"/>
      <c r="CG94" s="13"/>
    </row>
    <row r="95" spans="1:85" x14ac:dyDescent="0.35">
      <c r="BV95" s="5" t="s">
        <v>312</v>
      </c>
      <c r="CF95" s="13"/>
      <c r="CG95" s="13"/>
    </row>
    <row r="96" spans="1:85" x14ac:dyDescent="0.35">
      <c r="BV96" s="5" t="s">
        <v>313</v>
      </c>
      <c r="CF96" s="13"/>
      <c r="CG96" s="13"/>
    </row>
    <row r="97" spans="74:85" x14ac:dyDescent="0.35">
      <c r="BV97" s="5" t="s">
        <v>260</v>
      </c>
      <c r="CF97" s="13"/>
      <c r="CG97" s="13"/>
    </row>
    <row r="98" spans="74:85" x14ac:dyDescent="0.35">
      <c r="CF98" s="13"/>
      <c r="CG98" s="13"/>
    </row>
    <row r="99" spans="74:85" x14ac:dyDescent="0.35">
      <c r="CF99" s="13"/>
      <c r="CG99" s="13"/>
    </row>
    <row r="100" spans="74:85" x14ac:dyDescent="0.35">
      <c r="CF100" s="13"/>
      <c r="CG100" s="13"/>
    </row>
    <row r="101" spans="74:85" x14ac:dyDescent="0.35">
      <c r="CF101" s="13"/>
      <c r="CG101" s="13"/>
    </row>
    <row r="102" spans="74:85" x14ac:dyDescent="0.35">
      <c r="CF102" s="13"/>
      <c r="CG102" s="13"/>
    </row>
    <row r="103" spans="74:85" x14ac:dyDescent="0.35">
      <c r="CF103" s="13"/>
      <c r="CG103" s="13"/>
    </row>
    <row r="104" spans="74:85" x14ac:dyDescent="0.35">
      <c r="CF104" s="13"/>
      <c r="CG104" s="13"/>
    </row>
    <row r="105" spans="74:85" x14ac:dyDescent="0.35">
      <c r="CF105" s="13"/>
      <c r="CG105" s="13"/>
    </row>
    <row r="106" spans="74:85" x14ac:dyDescent="0.35">
      <c r="CF106" s="13"/>
      <c r="CG106" s="13"/>
    </row>
    <row r="107" spans="74:85" x14ac:dyDescent="0.35">
      <c r="CF107" s="13"/>
      <c r="CG107" s="13"/>
    </row>
    <row r="108" spans="74:85" x14ac:dyDescent="0.35">
      <c r="CF108" s="13"/>
      <c r="CG108" s="13"/>
    </row>
    <row r="109" spans="74:85" x14ac:dyDescent="0.35">
      <c r="CF109" s="13"/>
      <c r="CG109" s="13"/>
    </row>
    <row r="110" spans="74:85" x14ac:dyDescent="0.35">
      <c r="CF110" s="13"/>
      <c r="CG110" s="13"/>
    </row>
    <row r="111" spans="74:85" x14ac:dyDescent="0.35">
      <c r="CF111" s="13"/>
      <c r="CG111" s="13"/>
    </row>
    <row r="112" spans="74:85" x14ac:dyDescent="0.35">
      <c r="CF112" s="13"/>
      <c r="CG112" s="13"/>
    </row>
    <row r="113" spans="84:85" x14ac:dyDescent="0.35">
      <c r="CF113" s="13"/>
      <c r="CG113" s="13"/>
    </row>
    <row r="114" spans="84:85" x14ac:dyDescent="0.35">
      <c r="CF114" s="13"/>
      <c r="CG114" s="13"/>
    </row>
    <row r="115" spans="84:85" x14ac:dyDescent="0.35">
      <c r="CF115" s="13"/>
      <c r="CG115" s="13"/>
    </row>
    <row r="116" spans="84:85" x14ac:dyDescent="0.35">
      <c r="CF116" s="13"/>
      <c r="CG116" s="13"/>
    </row>
    <row r="117" spans="84:85" x14ac:dyDescent="0.35">
      <c r="CF117" s="13"/>
      <c r="CG117" s="13"/>
    </row>
    <row r="118" spans="84:85" x14ac:dyDescent="0.35">
      <c r="CF118" s="13"/>
      <c r="CG118" s="13"/>
    </row>
    <row r="119" spans="84:85" x14ac:dyDescent="0.35">
      <c r="CF119" s="13"/>
      <c r="CG119" s="13"/>
    </row>
    <row r="120" spans="84:85" x14ac:dyDescent="0.35">
      <c r="CF120" s="13"/>
      <c r="CG120" s="13"/>
    </row>
    <row r="121" spans="84:85" x14ac:dyDescent="0.35">
      <c r="CF121" s="13"/>
      <c r="CG121" s="13"/>
    </row>
    <row r="122" spans="84:85" x14ac:dyDescent="0.35">
      <c r="CF122" s="13"/>
      <c r="CG122" s="13"/>
    </row>
    <row r="123" spans="84:85" x14ac:dyDescent="0.35">
      <c r="CF123" s="13"/>
      <c r="CG123" s="13"/>
    </row>
    <row r="124" spans="84:85" x14ac:dyDescent="0.35">
      <c r="CF124" s="13"/>
      <c r="CG124" s="13"/>
    </row>
    <row r="125" spans="84:85" x14ac:dyDescent="0.35">
      <c r="CF125" s="13"/>
      <c r="CG125" s="13"/>
    </row>
    <row r="126" spans="84:85" x14ac:dyDescent="0.35">
      <c r="CF126" s="13"/>
      <c r="CG126" s="13"/>
    </row>
    <row r="127" spans="84:85" x14ac:dyDescent="0.35">
      <c r="CF127" s="13"/>
      <c r="CG127" s="13"/>
    </row>
    <row r="128" spans="84:85" x14ac:dyDescent="0.35">
      <c r="CF128" s="13"/>
      <c r="CG128" s="13"/>
    </row>
    <row r="129" spans="84:85" x14ac:dyDescent="0.35">
      <c r="CF129" s="13"/>
      <c r="CG129" s="13"/>
    </row>
    <row r="130" spans="84:85" x14ac:dyDescent="0.35">
      <c r="CF130" s="13"/>
      <c r="CG130" s="13"/>
    </row>
    <row r="131" spans="84:85" x14ac:dyDescent="0.35">
      <c r="CF131" s="13"/>
      <c r="CG131" s="13"/>
    </row>
    <row r="132" spans="84:85" x14ac:dyDescent="0.35">
      <c r="CF132" s="13"/>
      <c r="CG132" s="13"/>
    </row>
    <row r="133" spans="84:85" x14ac:dyDescent="0.35">
      <c r="CF133" s="13"/>
      <c r="CG133" s="13"/>
    </row>
    <row r="134" spans="84:85" x14ac:dyDescent="0.35">
      <c r="CF134" s="13"/>
      <c r="CG134" s="13"/>
    </row>
    <row r="135" spans="84:85" x14ac:dyDescent="0.35">
      <c r="CF135" s="13"/>
      <c r="CG135" s="13"/>
    </row>
    <row r="136" spans="84:85" x14ac:dyDescent="0.35">
      <c r="CF136" s="13"/>
      <c r="CG136" s="13"/>
    </row>
    <row r="137" spans="84:85" x14ac:dyDescent="0.35">
      <c r="CF137" s="13"/>
      <c r="CG137" s="13"/>
    </row>
    <row r="138" spans="84:85" x14ac:dyDescent="0.35">
      <c r="CF138" s="13"/>
      <c r="CG138" s="13"/>
    </row>
    <row r="139" spans="84:85" x14ac:dyDescent="0.35">
      <c r="CF139" s="13"/>
      <c r="CG139" s="13"/>
    </row>
    <row r="140" spans="84:85" x14ac:dyDescent="0.35">
      <c r="CF140" s="13"/>
      <c r="CG140" s="13"/>
    </row>
    <row r="141" spans="84:85" x14ac:dyDescent="0.35">
      <c r="CF141" s="13"/>
      <c r="CG141" s="13"/>
    </row>
    <row r="142" spans="84:85" x14ac:dyDescent="0.35">
      <c r="CF142" s="13"/>
      <c r="CG142" s="13"/>
    </row>
    <row r="143" spans="84:85" x14ac:dyDescent="0.35">
      <c r="CF143" s="13"/>
      <c r="CG143" s="13"/>
    </row>
    <row r="144" spans="84:85" x14ac:dyDescent="0.35">
      <c r="CF144" s="13"/>
      <c r="CG144" s="13"/>
    </row>
    <row r="145" spans="84:85" x14ac:dyDescent="0.35">
      <c r="CF145" s="13"/>
      <c r="CG145" s="13"/>
    </row>
    <row r="146" spans="84:85" x14ac:dyDescent="0.35">
      <c r="CF146" s="13"/>
      <c r="CG146" s="13"/>
    </row>
    <row r="147" spans="84:85" x14ac:dyDescent="0.35">
      <c r="CF147" s="13"/>
      <c r="CG147" s="13"/>
    </row>
    <row r="148" spans="84:85" x14ac:dyDescent="0.35">
      <c r="CF148" s="13"/>
      <c r="CG148" s="13"/>
    </row>
    <row r="149" spans="84:85" x14ac:dyDescent="0.35">
      <c r="CF149" s="13"/>
      <c r="CG149" s="13"/>
    </row>
    <row r="150" spans="84:85" x14ac:dyDescent="0.35">
      <c r="CF150" s="13"/>
      <c r="CG150" s="13"/>
    </row>
    <row r="151" spans="84:85" x14ac:dyDescent="0.35">
      <c r="CF151" s="13"/>
      <c r="CG151" s="13"/>
    </row>
    <row r="152" spans="84:85" x14ac:dyDescent="0.35">
      <c r="CF152" s="13"/>
      <c r="CG152" s="13"/>
    </row>
    <row r="153" spans="84:85" x14ac:dyDescent="0.35">
      <c r="CF153" s="13"/>
      <c r="CG153" s="13"/>
    </row>
    <row r="154" spans="84:85" x14ac:dyDescent="0.35">
      <c r="CF154" s="13"/>
      <c r="CG154" s="13"/>
    </row>
    <row r="155" spans="84:85" x14ac:dyDescent="0.35">
      <c r="CF155" s="13"/>
      <c r="CG155" s="13"/>
    </row>
    <row r="156" spans="84:85" x14ac:dyDescent="0.35">
      <c r="CF156" s="13"/>
      <c r="CG156" s="13"/>
    </row>
    <row r="157" spans="84:85" x14ac:dyDescent="0.35">
      <c r="CF157" s="13"/>
      <c r="CG157" s="13"/>
    </row>
    <row r="158" spans="84:85" x14ac:dyDescent="0.35">
      <c r="CF158" s="13"/>
      <c r="CG158" s="13"/>
    </row>
    <row r="159" spans="84:85" x14ac:dyDescent="0.35">
      <c r="CF159" s="13"/>
      <c r="CG159" s="13"/>
    </row>
    <row r="160" spans="84:85" x14ac:dyDescent="0.35">
      <c r="CF160" s="13"/>
      <c r="CG160" s="13"/>
    </row>
    <row r="161" spans="84:85" x14ac:dyDescent="0.35">
      <c r="CF161" s="13"/>
      <c r="CG161" s="13"/>
    </row>
    <row r="162" spans="84:85" x14ac:dyDescent="0.35">
      <c r="CF162" s="13"/>
      <c r="CG162" s="13"/>
    </row>
    <row r="163" spans="84:85" x14ac:dyDescent="0.35">
      <c r="CF163" s="13"/>
      <c r="CG163" s="13"/>
    </row>
    <row r="164" spans="84:85" x14ac:dyDescent="0.35">
      <c r="CF164" s="13"/>
      <c r="CG164" s="13"/>
    </row>
    <row r="165" spans="84:85" x14ac:dyDescent="0.35">
      <c r="CF165" s="13"/>
      <c r="CG165" s="13"/>
    </row>
    <row r="166" spans="84:85" x14ac:dyDescent="0.35">
      <c r="CF166" s="13"/>
      <c r="CG166" s="13"/>
    </row>
    <row r="167" spans="84:85" x14ac:dyDescent="0.35">
      <c r="CF167" s="13"/>
      <c r="CG167" s="13"/>
    </row>
    <row r="168" spans="84:85" x14ac:dyDescent="0.35">
      <c r="CF168" s="13"/>
      <c r="CG168" s="13"/>
    </row>
    <row r="169" spans="84:85" x14ac:dyDescent="0.35">
      <c r="CF169" s="13"/>
      <c r="CG169" s="13"/>
    </row>
    <row r="170" spans="84:85" x14ac:dyDescent="0.35">
      <c r="CF170" s="13"/>
      <c r="CG170" s="13"/>
    </row>
    <row r="171" spans="84:85" x14ac:dyDescent="0.35">
      <c r="CF171" s="13"/>
      <c r="CG171" s="13"/>
    </row>
    <row r="172" spans="84:85" x14ac:dyDescent="0.35">
      <c r="CF172" s="13"/>
      <c r="CG172" s="13"/>
    </row>
    <row r="173" spans="84:85" x14ac:dyDescent="0.35">
      <c r="CF173" s="13"/>
      <c r="CG173" s="13"/>
    </row>
    <row r="174" spans="84:85" x14ac:dyDescent="0.35">
      <c r="CF174" s="13"/>
      <c r="CG174" s="13"/>
    </row>
    <row r="175" spans="84:85" x14ac:dyDescent="0.35">
      <c r="CF175" s="13"/>
      <c r="CG175" s="13"/>
    </row>
    <row r="176" spans="84:85" x14ac:dyDescent="0.35">
      <c r="CF176" s="13"/>
      <c r="CG176" s="13"/>
    </row>
    <row r="177" spans="84:85" x14ac:dyDescent="0.35">
      <c r="CF177" s="13"/>
      <c r="CG177" s="13"/>
    </row>
    <row r="178" spans="84:85" x14ac:dyDescent="0.35">
      <c r="CF178" s="13"/>
      <c r="CG178" s="13"/>
    </row>
    <row r="179" spans="84:85" x14ac:dyDescent="0.35">
      <c r="CF179" s="13"/>
      <c r="CG179" s="13"/>
    </row>
    <row r="180" spans="84:85" x14ac:dyDescent="0.35">
      <c r="CF180" s="13"/>
      <c r="CG180" s="13"/>
    </row>
    <row r="181" spans="84:85" x14ac:dyDescent="0.35">
      <c r="CF181" s="13"/>
      <c r="CG181" s="13"/>
    </row>
    <row r="182" spans="84:85" x14ac:dyDescent="0.35">
      <c r="CF182" s="13"/>
      <c r="CG182" s="13"/>
    </row>
    <row r="183" spans="84:85" x14ac:dyDescent="0.35">
      <c r="CF183" s="13"/>
      <c r="CG183" s="13"/>
    </row>
    <row r="184" spans="84:85" x14ac:dyDescent="0.35">
      <c r="CF184" s="13"/>
      <c r="CG184" s="13"/>
    </row>
    <row r="185" spans="84:85" x14ac:dyDescent="0.35">
      <c r="CF185" s="13"/>
      <c r="CG185" s="13"/>
    </row>
    <row r="186" spans="84:85" x14ac:dyDescent="0.35">
      <c r="CF186" s="13"/>
      <c r="CG186" s="13"/>
    </row>
    <row r="187" spans="84:85" x14ac:dyDescent="0.35">
      <c r="CF187" s="13"/>
      <c r="CG187" s="13"/>
    </row>
    <row r="188" spans="84:85" x14ac:dyDescent="0.35">
      <c r="CF188" s="13"/>
      <c r="CG188" s="13"/>
    </row>
    <row r="189" spans="84:85" x14ac:dyDescent="0.35">
      <c r="CF189" s="13"/>
      <c r="CG189" s="13"/>
    </row>
    <row r="190" spans="84:85" x14ac:dyDescent="0.35">
      <c r="CF190" s="13"/>
      <c r="CG190" s="13"/>
    </row>
    <row r="191" spans="84:85" x14ac:dyDescent="0.35">
      <c r="CF191" s="13"/>
      <c r="CG191" s="13"/>
    </row>
    <row r="192" spans="84:85" x14ac:dyDescent="0.35">
      <c r="CF192" s="13"/>
      <c r="CG192" s="13"/>
    </row>
    <row r="193" spans="84:85" x14ac:dyDescent="0.35">
      <c r="CF193" s="13"/>
      <c r="CG193" s="13"/>
    </row>
    <row r="194" spans="84:85" x14ac:dyDescent="0.35">
      <c r="CF194" s="13"/>
      <c r="CG194" s="13"/>
    </row>
    <row r="195" spans="84:85" x14ac:dyDescent="0.35">
      <c r="CF195" s="13"/>
      <c r="CG195" s="13"/>
    </row>
    <row r="196" spans="84:85" x14ac:dyDescent="0.35">
      <c r="CF196" s="13"/>
      <c r="CG196" s="13"/>
    </row>
    <row r="197" spans="84:85" x14ac:dyDescent="0.35">
      <c r="CF197" s="13"/>
      <c r="CG197" s="13"/>
    </row>
    <row r="198" spans="84:85" x14ac:dyDescent="0.35">
      <c r="CF198" s="13"/>
      <c r="CG198" s="13"/>
    </row>
    <row r="199" spans="84:85" x14ac:dyDescent="0.35">
      <c r="CF199" s="13"/>
      <c r="CG199" s="13"/>
    </row>
    <row r="200" spans="84:85" x14ac:dyDescent="0.35">
      <c r="CF200" s="13"/>
      <c r="CG200" s="13"/>
    </row>
    <row r="201" spans="84:85" x14ac:dyDescent="0.35">
      <c r="CF201" s="13"/>
      <c r="CG201" s="13"/>
    </row>
    <row r="202" spans="84:85" x14ac:dyDescent="0.35">
      <c r="CF202" s="13"/>
      <c r="CG202" s="13"/>
    </row>
    <row r="203" spans="84:85" x14ac:dyDescent="0.35">
      <c r="CF203" s="13"/>
      <c r="CG203" s="13"/>
    </row>
    <row r="204" spans="84:85" x14ac:dyDescent="0.35">
      <c r="CF204" s="13"/>
      <c r="CG204" s="13"/>
    </row>
    <row r="205" spans="84:85" x14ac:dyDescent="0.35">
      <c r="CF205" s="13"/>
      <c r="CG205" s="13"/>
    </row>
    <row r="206" spans="84:85" x14ac:dyDescent="0.35">
      <c r="CF206" s="13"/>
      <c r="CG206" s="13"/>
    </row>
    <row r="207" spans="84:85" x14ac:dyDescent="0.35">
      <c r="CF207" s="13"/>
      <c r="CG207" s="13"/>
    </row>
    <row r="208" spans="84:85" x14ac:dyDescent="0.35">
      <c r="CF208" s="13"/>
      <c r="CG208" s="13"/>
    </row>
    <row r="209" spans="84:85" x14ac:dyDescent="0.35">
      <c r="CF209" s="13"/>
      <c r="CG209" s="13"/>
    </row>
    <row r="210" spans="84:85" x14ac:dyDescent="0.35">
      <c r="CF210" s="13"/>
      <c r="CG210" s="13"/>
    </row>
    <row r="211" spans="84:85" x14ac:dyDescent="0.35">
      <c r="CF211" s="13"/>
      <c r="CG211" s="13"/>
    </row>
    <row r="212" spans="84:85" x14ac:dyDescent="0.35">
      <c r="CF212" s="13"/>
      <c r="CG212" s="13"/>
    </row>
    <row r="213" spans="84:85" x14ac:dyDescent="0.35">
      <c r="CF213" s="13"/>
      <c r="CG213" s="13"/>
    </row>
    <row r="214" spans="84:85" x14ac:dyDescent="0.35">
      <c r="CF214" s="13"/>
      <c r="CG214" s="13"/>
    </row>
    <row r="215" spans="84:85" x14ac:dyDescent="0.35">
      <c r="CF215" s="13"/>
      <c r="CG215" s="13"/>
    </row>
    <row r="216" spans="84:85" x14ac:dyDescent="0.35">
      <c r="CF216" s="13"/>
      <c r="CG216" s="13"/>
    </row>
    <row r="217" spans="84:85" x14ac:dyDescent="0.35">
      <c r="CF217" s="13"/>
      <c r="CG217" s="13"/>
    </row>
    <row r="218" spans="84:85" x14ac:dyDescent="0.35">
      <c r="CF218" s="13"/>
      <c r="CG218" s="13"/>
    </row>
  </sheetData>
  <mergeCells count="21">
    <mergeCell ref="A1:P1"/>
    <mergeCell ref="A3:Q3"/>
    <mergeCell ref="B5:E5"/>
    <mergeCell ref="K5:L5"/>
    <mergeCell ref="B7:E7"/>
    <mergeCell ref="K7:L7"/>
    <mergeCell ref="B9:E9"/>
    <mergeCell ref="K9:L9"/>
    <mergeCell ref="B11:E11"/>
    <mergeCell ref="K11:L11"/>
    <mergeCell ref="A14:Q14"/>
    <mergeCell ref="H25:I33"/>
    <mergeCell ref="B35:I35"/>
    <mergeCell ref="N69:P69"/>
    <mergeCell ref="N71:O71"/>
    <mergeCell ref="N73:O73"/>
    <mergeCell ref="N75:O75"/>
    <mergeCell ref="N77:O77"/>
    <mergeCell ref="A82:Q82"/>
    <mergeCell ref="I84:P86"/>
    <mergeCell ref="A90:P90"/>
  </mergeCells>
  <dataValidations count="15">
    <dataValidation type="list" allowBlank="1" showInputMessage="1" showErrorMessage="1" sqref="P64" xr:uid="{00000000-0002-0000-0100-000000000000}">
      <formula1>$BW$31:$BW$32</formula1>
      <formula2>0</formula2>
    </dataValidation>
    <dataValidation type="list" allowBlank="1" showInputMessage="1" showErrorMessage="1" sqref="K57" xr:uid="{00000000-0002-0000-0100-000001000000}">
      <formula1>$BX$53:$BX$56</formula1>
      <formula2>0</formula2>
    </dataValidation>
    <dataValidation type="list" allowBlank="1" showInputMessage="1" showErrorMessage="1" sqref="K64" xr:uid="{00000000-0002-0000-0100-000002000000}">
      <formula1>$BV$60:$BV$66</formula1>
      <formula2>0</formula2>
    </dataValidation>
    <dataValidation type="list" allowBlank="1" showInputMessage="1" showErrorMessage="1" sqref="K25 K27 K29 K31 K33" xr:uid="{00000000-0002-0000-0100-000003000000}">
      <formula1>$BY$9:$BY$17</formula1>
      <formula2>0</formula2>
    </dataValidation>
    <dataValidation type="list" allowBlank="1" showInputMessage="1" showErrorMessage="1" sqref="F42" xr:uid="{00000000-0002-0000-0100-000004000000}">
      <formula1>$BY$2:$BY$4</formula1>
      <formula2>0</formula2>
    </dataValidation>
    <dataValidation type="list" allowBlank="1" showInputMessage="1" showErrorMessage="1" sqref="K11:L11" xr:uid="{00000000-0002-0000-0100-000005000000}">
      <formula1>$BX$1:$BX$12</formula1>
      <formula2>0</formula2>
    </dataValidation>
    <dataValidation type="list" allowBlank="1" showInputMessage="1" showErrorMessage="1" sqref="P21" xr:uid="{00000000-0002-0000-0100-000006000000}">
      <formula1>$BW$1:$BW$7</formula1>
      <formula2>0</formula2>
    </dataValidation>
    <dataValidation type="list" allowBlank="1" showInputMessage="1" showErrorMessage="1" sqref="E42 P62" xr:uid="{00000000-0002-0000-0100-000007000000}">
      <formula1>$BV$5:$BV$7</formula1>
      <formula2>0</formula2>
    </dataValidation>
    <dataValidation type="list" allowBlank="1" showInputMessage="1" showErrorMessage="1" sqref="K55" xr:uid="{00000000-0002-0000-0100-000008000000}">
      <formula1>$BW$53:$BW$57</formula1>
      <formula2>0</formula2>
    </dataValidation>
    <dataValidation type="list" allowBlank="1" showInputMessage="1" showErrorMessage="1" sqref="M9:N9" xr:uid="{00000000-0002-0000-0100-000009000000}">
      <formula1>$BV$53:$BV$55</formula1>
      <formula2>0</formula2>
    </dataValidation>
    <dataValidation type="list" allowBlank="1" showInputMessage="1" showErrorMessage="1" sqref="P25 P27 P33 K66 J69 B71 G71 J71 B73 G73 J73 B75 G75 J75 B77 G77 J77 B79 G79 J79 N79" xr:uid="{00000000-0002-0000-0100-00000A000000}">
      <formula1>$BV$18:$BV$19</formula1>
      <formula2>0</formula2>
    </dataValidation>
    <dataValidation type="list" allowBlank="1" showInputMessage="1" showErrorMessage="1" sqref="K44" xr:uid="{00000000-0002-0000-0100-00000B000000}">
      <formula1>$BW$39:$BW$48</formula1>
      <formula2>0</formula2>
    </dataValidation>
    <dataValidation type="list" allowBlank="1" showInputMessage="1" showErrorMessage="1" sqref="P19 E40" xr:uid="{00000000-0002-0000-0100-00000C000000}">
      <formula1>$BW$31:$BW$35</formula1>
      <formula2>0</formula2>
    </dataValidation>
    <dataValidation type="list" allowBlank="1" showInputMessage="1" showErrorMessage="1" sqref="K19 C77 C79 C84" xr:uid="{00000000-0002-0000-0100-00000D000000}">
      <formula1>$BV$1:$BV$2</formula1>
      <formula2>0</formula2>
    </dataValidation>
    <dataValidation type="list" allowBlank="1" showInputMessage="1" showErrorMessage="1" sqref="K46" xr:uid="{00000000-0002-0000-0100-00000E000000}">
      <formula1>$BX$18:$BX$21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Cuestionario - Español</vt:lpstr>
      <vt:lpstr>Cuestionario - Inglés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Ariadna Fuentes</dc:creator>
  <dc:description/>
  <cp:lastModifiedBy>jaime cucalon</cp:lastModifiedBy>
  <cp:revision>0</cp:revision>
  <dcterms:created xsi:type="dcterms:W3CDTF">2022-10-10T15:58:22Z</dcterms:created>
  <dcterms:modified xsi:type="dcterms:W3CDTF">2026-09-29T17:56:48Z</dcterms:modified>
  <dc:language>en-US</dc:language>
</cp:coreProperties>
</file>