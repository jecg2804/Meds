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Supuestos" sheetId="2" state="visible" r:id="rId4"/>
    <sheet name="SKUs" sheetId="3" state="visible" r:id="rId5"/>
    <sheet name="Mensual" sheetId="4" state="visible" r:id="rId6"/>
    <sheet name="Anual" sheetId="5" state="visible" r:id="rId7"/>
    <sheet name="Valoración" sheetId="6" state="visible" r:id="rId8"/>
    <sheet name="Escenarios" sheetId="7" state="visible" r:id="rId9"/>
    <sheet name="Monte Carlo" sheetId="8" state="visible" r:id="rId10"/>
    <sheet name="Sensibilidad" sheetId="9" state="visible" r:id="rId11"/>
    <sheet name="Trato" sheetId="10" state="visible" r:id="rId12"/>
    <sheet name="Capital por socio" sheetId="11" state="visible" r:id="rId13"/>
    <sheet name="Operación" sheetId="12" state="visible" r:id="rId14"/>
    <sheet name="Fuentes" sheetId="13" state="visible" r:id="rId15"/>
  </sheets>
  <definedNames>
    <definedName function="false" hidden="false" name="c_annual" vbProcedure="false">Supuestos!$G$99</definedName>
    <definedName function="false" hidden="false" name="c_bid_m" vbProcedure="false">Supuestos!$G$117</definedName>
    <definedName function="false" hidden="false" name="c_cen_start" vbProcedure="false">Supuestos!$G$110</definedName>
    <definedName function="false" hidden="false" name="c_credit_m" vbProcedure="false">Supuestos!$G$106</definedName>
    <definedName function="false" hidden="false" name="c_dso_m" vbProcedure="false">Supuestos!$G$105</definedName>
    <definedName function="false" hidden="false" name="c_first_dec" vbProcedure="false">Supuestos!$G$109</definedName>
    <definedName function="false" hidden="false" name="c_first_dec2" vbProcedure="false">Supuestos!$G$113</definedName>
    <definedName function="false" hidden="false" name="c_k2" vbProcedure="false">Supuestos!$G$115</definedName>
    <definedName function="false" hidden="false" name="c_lead_m" vbProcedure="false">Supuestos!$G$104</definedName>
    <definedName function="false" hidden="false" name="c_lic_m" vbProcedure="false">Supuestos!$G$102</definedName>
    <definedName function="false" hidden="false" name="c_m2" vbProcedure="false">Supuestos!$G$112</definedName>
    <definedName function="false" hidden="false" name="c_n1" vbProcedure="false">Supuestos!$G$114</definedName>
    <definedName function="false" hidden="false" name="c_n_reg1" vbProcedure="false">Supuestos!$G$118</definedName>
    <definedName function="false" hidden="false" name="c_n_reg2" vbProcedure="false">Supuestos!$G$119</definedName>
    <definedName function="false" hidden="false" name="c_phase0" vbProcedure="false">Supuestos!$G$83</definedName>
    <definedName function="false" hidden="false" name="c_reg_m" vbProcedure="false">Supuestos!$G$108</definedName>
    <definedName function="false" hidden="false" name="c_rs_pay_m" vbProcedure="false">Supuestos!$G$103</definedName>
    <definedName function="false" hidden="false" name="c_rs_unit" vbProcedure="false">Supuestos!$G$116</definedName>
    <definedName function="false" hidden="false" name="c_rt" vbProcedure="false">Supuestos!$G$111</definedName>
    <definedName function="false" hidden="false" name="c_ship_m" vbProcedure="false">Supuestos!$G$107</definedName>
    <definedName function="false" hidden="false" name="f_start" vbProcedure="false">Supuestos!$I$70:$I$78</definedName>
    <definedName function="false" hidden="false" name="f_total" vbProcedure="false">Supuestos!$G$79</definedName>
    <definedName function="false" hidden="false" name="f_used" vbProcedure="false">Supuestos!$G$70:$G$78</definedName>
    <definedName function="false" hidden="false" name="m_mes" vbProcedure="false">Mensual!$D$3:$BK$3</definedName>
    <definedName function="false" hidden="false" name="p_adv" vbProcedure="false">Supuestos!$G$32</definedName>
    <definedName function="false" hidden="false" name="p_aviso" vbProcedure="false">Supuestos!$G$56</definedName>
    <definedName function="false" hidden="false" name="p_baddebt" vbProcedure="false">Supuestos!$G$28</definedName>
    <definedName function="false" hidden="false" name="p_bid_bond" vbProcedure="false">Supuestos!$G$38</definedName>
    <definedName function="false" hidden="false" name="p_bid_m" vbProcedure="false">Supuestos!$G$39</definedName>
    <definedName function="false" hidden="false" name="p_bond_css" vbProcedure="false">Supuestos!$G$34</definedName>
    <definedName function="false" hidden="false" name="p_bond_minsa" vbProcedure="false">Supuestos!$G$35</definedName>
    <definedName function="false" hidden="false" name="p_bond_prem" vbProcedure="false">Supuestos!$G$37</definedName>
    <definedName function="false" hidden="false" name="p_cen_start" vbProcedure="false">Supuestos!$G$11</definedName>
    <definedName function="false" hidden="false" name="p_cen_stock_m" vbProcedure="false">Supuestos!$G$31</definedName>
    <definedName function="false" hidden="false" name="p_collat" vbProcedure="false">Supuestos!$G$36</definedName>
    <definedName function="false" hidden="false" name="p_cover_m" vbProcedure="false">Supuestos!$G$30</definedName>
    <definedName function="false" hidden="false" name="p_credit_days" vbProcedure="false">Supuestos!$G$33</definedName>
    <definedName function="false" hidden="false" name="p_disc" vbProcedure="false">Supuestos!$G$60</definedName>
    <definedName function="false" hidden="false" name="p_dist" vbProcedure="false">Supuestos!$G$25</definedName>
    <definedName function="false" hidden="false" name="p_divtax" vbProcedure="false">Supuestos!$G$55</definedName>
    <definedName function="false" hidden="false" name="p_dso_days" vbProcedure="false">Supuestos!$G$29</definedName>
    <definedName function="false" hidden="false" name="p_erosion" vbProcedure="false">Supuestos!$G$19</definedName>
    <definedName function="false" hidden="false" name="p_expiry" vbProcedure="false">Supuestos!$G$27</definedName>
    <definedName function="false" hidden="false" name="p_fact_cost" vbProcedure="false">Supuestos!$G$51</definedName>
    <definedName function="false" hidden="false" name="p_fact_share" vbProcedure="false">Supuestos!$G$50</definedName>
    <definedName function="false" hidden="false" name="p_gc_mult" vbProcedure="false">Supuestos!$G$62</definedName>
    <definedName function="false" hidden="false" name="p_gm_cen" vbProcedure="false">Supuestos!$G$21</definedName>
    <definedName function="false" hidden="false" name="p_gm_dec" vbProcedure="false">Supuestos!$G$20</definedName>
    <definedName function="false" hidden="false" name="p_inv_liq" vbProcedure="false">Supuestos!$G$53</definedName>
    <definedName function="false" hidden="false" name="p_isr" vbProcedure="false">Supuestos!$G$54</definedName>
    <definedName function="false" hidden="false" name="p_itbms_srv" vbProcedure="false">Supuestos!$G$58</definedName>
    <definedName function="false" hidden="false" name="p_jaime_frac" vbProcedure="false">Supuestos!$G$65</definedName>
    <definedName function="false" hidden="false" name="p_lead_days" vbProcedure="false">Supuestos!$G$8</definedName>
    <definedName function="false" hidden="false" name="p_log_mult" vbProcedure="false">Supuestos!$G$24</definedName>
    <definedName function="false" hidden="false" name="p_m2" vbProcedure="false">Supuestos!$G$48</definedName>
    <definedName function="false" hidden="false" name="p_mincash_m" vbProcedure="false">Supuestos!$G$40</definedName>
    <definedName function="false" hidden="false" name="p_minsa_occ" vbProcedure="false">Supuestos!$G$16</definedName>
    <definedName function="false" hidden="false" name="p_mkt" vbProcedure="false">Supuestos!$G$12</definedName>
    <definedName function="false" hidden="false" name="p_n2" vbProcedure="false">Supuestos!$G$47</definedName>
    <definedName function="false" hidden="false" name="p_oncost" vbProcedure="false">Supuestos!$G$57</definedName>
    <definedName function="false" hidden="false" name="p_pack" vbProcedure="false">Supuestos!$G$23</definedName>
    <definedName function="false" hidden="false" name="p_patel_cash" vbProcedure="false">Supuestos!$G$64</definedName>
    <definedName function="false" hidden="false" name="p_patel_eq" vbProcedure="false">Supuestos!$G$63</definedName>
    <definedName function="false" hidden="false" name="p_payout" vbProcedure="false">Supuestos!$G$59</definedName>
    <definedName function="false" hidden="false" name="p_penal" vbProcedure="false">Supuestos!$G$26</definedName>
    <definedName function="false" hidden="false" name="p_pf_cen" vbProcedure="false">Supuestos!$G$18</definedName>
    <definedName function="false" hidden="false" name="p_pf_dec" vbProcedure="false">Supuestos!$G$17</definedName>
    <definedName function="false" hidden="false" name="p_postreg" vbProcedure="false">Supuestos!$G$46</definedName>
    <definedName function="false" hidden="false" name="p_pwin_cen" vbProcedure="false">Supuestos!$G$14</definedName>
    <definedName function="false" hidden="false" name="p_ramp_m" vbProcedure="false">Supuestos!$G$10</definedName>
    <definedName function="false" hidden="false" name="p_realiz" vbProcedure="false">Supuestos!$G$15</definedName>
    <definedName function="false" hidden="false" name="p_recov" vbProcedure="false">Supuestos!$G$61</definedName>
    <definedName function="false" hidden="false" name="p_reg_m" vbProcedure="false">Supuestos!$G$7</definedName>
    <definedName function="false" hidden="false" name="p_rel2" vbProcedure="false">Supuestos!$G$49</definedName>
    <definedName function="false" hidden="false" name="p_rs_iea" vbProcedure="false">Supuestos!$G$42</definedName>
    <definedName function="false" hidden="false" name="p_rs_law" vbProcedure="false">Supuestos!$G$43</definedName>
    <definedName function="false" hidden="false" name="p_rs_off" vbProcedure="false">Supuestos!$G$41</definedName>
    <definedName function="false" hidden="false" name="p_rs_smp" vbProcedure="false">Supuestos!$G$44</definedName>
    <definedName function="false" hidden="false" name="p_rs_succ" vbProcedure="false">Supuestos!$G$45</definedName>
    <definedName function="false" hidden="false" name="p_sc" vbProcedure="false">Supuestos!$B$3</definedName>
    <definedName function="false" hidden="false" name="p_share_dec" vbProcedure="false">Supuestos!$G$13</definedName>
    <definedName function="false" hidden="false" name="p_ship_m" vbProcedure="false">Supuestos!$G$9</definedName>
    <definedName function="false" hidden="false" name="p_sl" vbProcedure="false">Supuestos!$B$4</definedName>
    <definedName function="false" hidden="false" name="p_stop_det" vbProcedure="false">Supuestos!$G$52</definedName>
    <definedName function="false" hidden="false" name="p_sup_idx" vbProcedure="false">Supuestos!$G$22</definedName>
    <definedName function="false" hidden="false" name="p_zy_markup" vbProcedure="false">Supuestos!$G$66</definedName>
    <definedName function="false" hidden="false" name="s_bid" vbProcedure="false">SKUs!$AN$25</definedName>
    <definedName function="false" hidden="false" name="s_fob_share" vbProcedure="false">SKUs!$AM$25</definedName>
    <definedName function="false" hidden="false" name="s_gp_exp" vbProcedure="false">SKUs!$AL$25</definedName>
    <definedName function="false" hidden="false" name="s_Rc1" vbProcedure="false">SKUs!$AE$25</definedName>
    <definedName function="false" hidden="false" name="s_Rc1k" vbProcedure="false">SKUs!$AI$25</definedName>
    <definedName function="false" hidden="false" name="s_Rc2" vbProcedure="false">SKUs!$AF$25</definedName>
    <definedName function="false" hidden="false" name="s_Rc2k" vbProcedure="false">SKUs!$AJ$25</definedName>
    <definedName function="false" hidden="false" name="s_Rd" vbProcedure="false">SKUs!$AC$25:$AD$25</definedName>
    <definedName function="false" hidden="false" name="s_Rd3" vbProcedure="false">SKUs!$AC$25</definedName>
    <definedName function="false" hidden="false" name="s_Rd3k" vbProcedure="false">SKUs!$AG$25</definedName>
    <definedName function="false" hidden="false" name="s_Rd4" vbProcedure="false">SKUs!$AD$25</definedName>
    <definedName function="false" hidden="false" name="s_Rd4k" vbProcedure="false">SKUs!$AH$25</definedName>
    <definedName function="false" hidden="false" name="s_rev_exp" vbProcedure="false">SKUs!$AK$25</definedName>
    <definedName function="false" hidden="false" name="u_month" vbProcedure="false">Supuestos!$C$83:$C$93</definedName>
    <definedName function="false" hidden="false" name="u_used" vbProcedure="false">Supuestos!$G$83:$G$93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1 = pesimista, 2 = base, 3 = optimista</t>
        </r>
      </text>
    </comment>
    <comment ref="B4" authorId="0">
      <text>
        <r>
          <rPr>
            <sz val="10"/>
            <rFont val="Arial"/>
            <family val="2"/>
          </rPr>
          <t xml:space="preserve">1 = usar tarifas de la propuesta de SignatureLex; 0 = tarifas de mercado</t>
        </r>
      </text>
    </comment>
  </commentList>
</comments>
</file>

<file path=xl/sharedStrings.xml><?xml version="1.0" encoding="utf-8"?>
<sst xmlns="http://schemas.openxmlformats.org/spreadsheetml/2006/main" count="914" uniqueCount="738">
  <si>
    <t xml:space="preserve">Modelo financiero: distribuidora de medicamentos para compras públicas en Panamá</t>
  </si>
  <si>
    <t xml:space="preserve">Preparado el 6 de octubre de 2026 como apoyo del plan de negocio. Cifras en balboas (B/. = US$).</t>
  </si>
  <si>
    <t xml:space="preserve">Cómo usarlo</t>
  </si>
  <si>
    <t xml:space="preserve">1. Elija el escenario en Supuestos!B3 (1 = pesimista, 2 = base, 3 = optimista). Todo el modelo se recalcula.</t>
  </si>
  <si>
    <t xml:space="preserve">2. Cambie cualquier valor azul de las columnas D, E o F de Supuestos, o la columna "Incluir" de SKUs, para probar otra hipótesis.</t>
  </si>
  <si>
    <t xml:space="preserve">3. Supuestos!B4 = 1 aplica las tarifas de la propuesta de SignatureLex en lugar de las de mercado.</t>
  </si>
  <si>
    <t xml:space="preserve">4. Resultados vivos: Valoración (VPN, TIR, múltiplo, capital requerido), Anual (estado de resultados e impuestos), Mensual (flujo de caja).</t>
  </si>
  <si>
    <t xml:space="preserve">5. Las hojas Escenarios, Monte Carlo y Sensibilidad son resultados fijos del motor en Python (20,000 simulaciones); no cambian al editar supuestos.</t>
  </si>
  <si>
    <t xml:space="preserve">Convenciones</t>
  </si>
  <si>
    <t xml:space="preserve">Texto azul = dato de entrada o supuesto editable. Negro = fórmula. Verde = vínculo a otra hoja. Relleno amarillo = supuestos clave.</t>
  </si>
  <si>
    <t xml:space="preserve">F = dato verificado en fuente abierta (URL en Fuentes o en la columna Fuente). E = estimación del analista, a validar.</t>
  </si>
  <si>
    <t xml:space="preserve">Lógica del modelo (mes a mes, 60 meses desde la constitución de la S.A.)</t>
  </si>
  <si>
    <t xml:space="preserve">Ventas descentralizadas = demanda anual pública x factor de mercado x precio de oferta x probabilidad de registro x participación x rampa.</t>
  </si>
  <si>
    <t xml:space="preserve">Ventas centralizadas = demanda x precio x probabilidad de ganar x realización de cantidades (LPU CSS y compra centralizada MINSA).</t>
  </si>
  <si>
    <t xml:space="preserve">Solo se oferta un producto en un canal si el margen bruto supera el mínimo (35% descentralizado, 20% centralizado).</t>
  </si>
  <si>
    <t xml:space="preserve">Inventario objetivo = meses de cobertura x costo del mes siguiente; compras pagadas con anticipo al ordenar y saldo al embarque (menos crédito del proveedor).</t>
  </si>
  <si>
    <t xml:space="preserve">Cobro = ventas de hace "días de cobro" meses. Fianzas de cumplimiento sobre la cantidad máxima del contrato (30% LPU, 20% MINSA) y fianza de propuesta de 10% en la LPU para renglones de más de B/.70,000, con el colateral exigido inmovilizado.</t>
  </si>
  <si>
    <t xml:space="preserve">Costos fijos con cargas laborales (28%) sobre regente y coordinador e ITBMS no recuperable (7%) sobre servicios; los gastos de arranque y el abogado de registros también llevan ITBMS.</t>
  </si>
  <si>
    <t xml:space="preserve">Aportes de capital = lo necesario para mantener la caja mínima. Dividendos a los meses 24, 36 y 48 si hay utilidades y caja.</t>
  </si>
  <si>
    <t xml:space="preserve">Valor terminal (mes 60): caja + recuperación del capital de trabajo (conservador) o múltiplo de la utilidad del año 5 (negocio en marcha).</t>
  </si>
  <si>
    <t xml:space="preserve">Impuestos: ISR 25%, pérdidas arrastrables 5 años al 20% anual con tope de 50% de la renta, CAIR si ventas &gt; B/.1.5 millones, dividendos 10%, aviso de operación 2% del patrimonio cada año (pagado en marzo; el modelo no lo deduce de la renta).</t>
  </si>
  <si>
    <t xml:space="preserve">Limitaciones</t>
  </si>
  <si>
    <t xml:space="preserve">Sin precios de Zywie, el costo del producto parte de una referencia FOB por producto (hoja SKUs) hecha con precios públicos de India: licitaciones estatales para cinco productos (tres con un recargo de 35-40% para llevarlas a precio de exportación), precios de Jan Aushadhi para otros cinco y un supuesto para la nistatina. Esa referencia se multiplica por el índice del proveedor (1.25 en el caso base); la compuerta 0 (1.1 veces) y el descarte de la simulación (1.6 veces) se miden contra la misma referencia. La demanda usa compras 2025-2026 anualizadas; la del MINSA está incompleta.</t>
  </si>
  <si>
    <t xml:space="preserve">No incluye ventas al sector privado ni productos que exigen equivalencia terapéutica (bioequivalencia).</t>
  </si>
  <si>
    <t xml:space="preserve">Decisiones que favorecen el caso base (VPN al 15% con cada cambio por separado): ver la hoja Escenarios y el plan de negocio.</t>
  </si>
  <si>
    <t xml:space="preserve">Las variantes «Reestructurado» de la hoja Escenarios y la de Bueno financiando suponen un coordinador con sueldo de B/.1,000 al mes (más cargas); el caso base usa B/.1,500 y la simulación sortea entre 800 y 2,500.</t>
  </si>
  <si>
    <t xml:space="preserve">Supuestos</t>
  </si>
  <si>
    <t xml:space="preserve">Escenario</t>
  </si>
  <si>
    <t xml:space="preserve">SignatureLex</t>
  </si>
  <si>
    <t xml:space="preserve">Usar tarifas de la propuesta de SignatureLex (1) o de mercado (0)</t>
  </si>
  <si>
    <t xml:space="preserve">Clave</t>
  </si>
  <si>
    <t xml:space="preserve">Parámetro</t>
  </si>
  <si>
    <t xml:space="preserve">Unidad</t>
  </si>
  <si>
    <t xml:space="preserve">Pesimista</t>
  </si>
  <si>
    <t xml:space="preserve">Base</t>
  </si>
  <si>
    <t xml:space="preserve">Optimista</t>
  </si>
  <si>
    <t xml:space="preserve">Usado</t>
  </si>
  <si>
    <t xml:space="preserve">Fuente o base</t>
  </si>
  <si>
    <t xml:space="preserve">reg_m</t>
  </si>
  <si>
    <t xml:space="preserve">Mes en que salen los registros sanitarios (desde la constitución)</t>
  </si>
  <si>
    <t xml:space="preserve">mes</t>
  </si>
  <si>
    <t xml:space="preserve">Base = plazo de 5-6 meses planteado por el socio panameño; pesimista = supuesto de riesgo</t>
  </si>
  <si>
    <t xml:space="preserve">lead_days</t>
  </si>
  <si>
    <t xml:space="preserve">Tiempo de reposición: orden al proveedor hasta stock en Panamá</t>
  </si>
  <si>
    <t xml:space="preserve">días</t>
  </si>
  <si>
    <t xml:space="preserve">E: producción + flete marítimo + aduana; confirmar con Zywie y el agente de carga</t>
  </si>
  <si>
    <t xml:space="preserve">ship_m</t>
  </si>
  <si>
    <t xml:space="preserve">Meses entre embarque (B/L) y stock disponible</t>
  </si>
  <si>
    <t xml:space="preserve">meses</t>
  </si>
  <si>
    <t xml:space="preserve">E: tránsito marítimo con transbordo + desaduanaje</t>
  </si>
  <si>
    <t xml:space="preserve">ramp_m</t>
  </si>
  <si>
    <t xml:space="preserve">Meses para llegar a la participación madura en compras descentralizadas</t>
  </si>
  <si>
    <t xml:space="preserve">E: curva de aprendizaje; descalificación de nuevos 56% vs 34% (OCDS MINSA 2022-23)</t>
  </si>
  <si>
    <t xml:space="preserve">cen_start</t>
  </si>
  <si>
    <t xml:space="preserve">Mes del primer contrato centralizado (LPU CSS / subasta MINSA)</t>
  </si>
  <si>
    <t xml:space="preserve">E: la LPU 01-2026 vence a mediados de 2027; la siguiente se licitaría alrededor de esa fecha</t>
  </si>
  <si>
    <t xml:space="preserve">mkt</t>
  </si>
  <si>
    <t xml:space="preserve">Factor de mercado (demanda futura vs datos 2025-26)</t>
  </si>
  <si>
    <t xml:space="preserve">x</t>
  </si>
  <si>
    <t xml:space="preserve">F: presupuesto CSS 2027 de medicamentos -28.6% (Prensa, 4-sep-2026); E: ajuste</t>
  </si>
  <si>
    <t xml:space="preserve">share_dec</t>
  </si>
  <si>
    <t xml:space="preserve">Participación madura en compras descentralizadas (valor)</t>
  </si>
  <si>
    <t xml:space="preserve">%</t>
  </si>
  <si>
    <t xml:space="preserve">E: P(ganar|ofertar) entrantes 17%, establecidos 26% (OCDS MINSA 2020-24)</t>
  </si>
  <si>
    <t xml:space="preserve">pwin_cen</t>
  </si>
  <si>
    <t xml:space="preserve">Probabilidad de ganar un renglón centralizado ofertado</t>
  </si>
  <si>
    <t xml:space="preserve">E: P(ganar|precio más bajo y calificado) 95%; entrantes descalificados 56%</t>
  </si>
  <si>
    <t xml:space="preserve">realiz</t>
  </si>
  <si>
    <t xml:space="preserve">Cantidad realmente comprada vs máxima del contrato</t>
  </si>
  <si>
    <t xml:space="preserve">F: compromiso mínimo CSS 50% con excepciones amplias (Adenda 1 LPU 01-2026)</t>
  </si>
  <si>
    <t xml:space="preserve">minsa_occ</t>
  </si>
  <si>
    <t xml:space="preserve">Probabilidad de que MINSA haga su compra centralizada en el año</t>
  </si>
  <si>
    <t xml:space="preserve">F: compra conjunta 2025 fracasó; DE 16 de 2026 sin acto publicado a oct-2026</t>
  </si>
  <si>
    <t xml:space="preserve">pf_dec</t>
  </si>
  <si>
    <t xml:space="preserve">Precio de oferta descentralizado vs mediana actual</t>
  </si>
  <si>
    <t xml:space="preserve">F: precio ganador / mediana de ofertas = 0.91 (B1)</t>
  </si>
  <si>
    <t xml:space="preserve">pf_cen</t>
  </si>
  <si>
    <t xml:space="preserve">Precio de oferta centralizado vs adjudicado actual</t>
  </si>
  <si>
    <t xml:space="preserve">F: adjudicado / referencia 0.963 en LPU 01-2026; E: descuento para desplazar</t>
  </si>
  <si>
    <t xml:space="preserve">erosion</t>
  </si>
  <si>
    <t xml:space="preserve">Caída anual de precios a partir del año 2</t>
  </si>
  <si>
    <t xml:space="preserve">E: presión fiscal CSS; ahorro de 16% en LPU 2026 vs estimado</t>
  </si>
  <si>
    <t xml:space="preserve">gm_dec</t>
  </si>
  <si>
    <t xml:space="preserve">Margen bruto mínimo para ofertar (descentralizado)</t>
  </si>
  <si>
    <t xml:space="preserve">Regla de decisión</t>
  </si>
  <si>
    <t xml:space="preserve">gm_cen</t>
  </si>
  <si>
    <t xml:space="preserve">Margen bruto mínimo para ofertar (centralizado)</t>
  </si>
  <si>
    <t xml:space="preserve">sup_idx</t>
  </si>
  <si>
    <t xml:space="preserve">Índice de precio del proveedor vs referencia FOB India</t>
  </si>
  <si>
    <t xml:space="preserve">E: Zywie no ha dado precios; 1.0 = referencia B2 (licitaciones indias x1.4)</t>
  </si>
  <si>
    <t xml:space="preserve">pack</t>
  </si>
  <si>
    <t xml:space="preserve">Sobrecosto por empaque y etiquetado para Panamá</t>
  </si>
  <si>
    <t xml:space="preserve">F: pliegos exigen "PROPIEDAD DE CSS/MINSA" y rotulado del acto; E: costo</t>
  </si>
  <si>
    <t xml:space="preserve">log_mult</t>
  </si>
  <si>
    <t xml:space="preserve">Multiplicador de costo logístico (flete LCL, aduana, acarreo)</t>
  </si>
  <si>
    <t xml:space="preserve">E: sin cotización LCL India-Panamá; B2 usa 200 USD/CBM</t>
  </si>
  <si>
    <t xml:space="preserve">dist</t>
  </si>
  <si>
    <t xml:space="preserve">Distribución local a hospitales y almacenes (% ventas)</t>
  </si>
  <si>
    <t xml:space="preserve">E: B7 viajes 80-600 USD; pliegos exigen entrega en almacenes</t>
  </si>
  <si>
    <t xml:space="preserve">penal</t>
  </si>
  <si>
    <t xml:space="preserve">Multas por atraso y reposiciones (% ventas)</t>
  </si>
  <si>
    <t xml:space="preserve">F: multa 10-15%/30 por día (pliegos); E: frecuencia</t>
  </si>
  <si>
    <t xml:space="preserve">expiry</t>
  </si>
  <si>
    <t xml:space="preserve">Mermas y vencimientos (% del costo comprado)</t>
  </si>
  <si>
    <t xml:space="preserve">F: exigen 18 meses de vida útil al entregar; E: frecuencia</t>
  </si>
  <si>
    <t xml:space="preserve">baddebt</t>
  </si>
  <si>
    <t xml:space="preserve">Incobrables y vigencias expiradas (% ventas)</t>
  </si>
  <si>
    <t xml:space="preserve">F: CSS debía US$48-60 millones a proveedores en 2023</t>
  </si>
  <si>
    <t xml:space="preserve">dso_days</t>
  </si>
  <si>
    <t xml:space="preserve">Días de cobro: entrega hasta cobro</t>
  </si>
  <si>
    <t xml:space="preserve">F: pliegos pagan a 90 días de la cuenta; E: recepción + atraso</t>
  </si>
  <si>
    <t xml:space="preserve">cover_m</t>
  </si>
  <si>
    <t xml:space="preserve">Cobertura de inventario para compras descentralizadas</t>
  </si>
  <si>
    <t xml:space="preserve">E: entregas en días en compras menores; reposición de ~3 meses</t>
  </si>
  <si>
    <t xml:space="preserve">cen_stock_m</t>
  </si>
  <si>
    <t xml:space="preserve">Inventario para contratos centralizados</t>
  </si>
  <si>
    <t xml:space="preserve">F: LPU exige reserva de al menos 1 mes; E: más seguridad</t>
  </si>
  <si>
    <t xml:space="preserve">adv</t>
  </si>
  <si>
    <t xml:space="preserve">Anticipo al proveedor al colocar la orden</t>
  </si>
  <si>
    <t xml:space="preserve">E: práctica común de exportadores indios con clientes nuevos</t>
  </si>
  <si>
    <t xml:space="preserve">credit_days</t>
  </si>
  <si>
    <t xml:space="preserve">Crédito del proveedor desde el embarque</t>
  </si>
  <si>
    <t xml:space="preserve">E: Zywie no lo ha ofrecido; objetivo de negociación</t>
  </si>
  <si>
    <t xml:space="preserve">bond_css</t>
  </si>
  <si>
    <t xml:space="preserve">Fianza de cumplimiento LPU CSS (% del contrato)</t>
  </si>
  <si>
    <t xml:space="preserve">F: pliego LPU 01-2026 cl. 11</t>
  </si>
  <si>
    <t xml:space="preserve">bond_minsa</t>
  </si>
  <si>
    <t xml:space="preserve">Fianza de cumplimiento MINSA (% del contrato)</t>
  </si>
  <si>
    <t xml:space="preserve">F: pliego subasta en reversa MINSA 2026 cl. 9.1</t>
  </si>
  <si>
    <t xml:space="preserve">collat</t>
  </si>
  <si>
    <t xml:space="preserve">Colateral en efectivo exigido por la aseguradora (% de la fianza)</t>
  </si>
  <si>
    <t xml:space="preserve">F: aseguradoras piden pagaré, codeudor y colateral líquido; E: porcentaje</t>
  </si>
  <si>
    <t xml:space="preserve">bond_prem</t>
  </si>
  <si>
    <t xml:space="preserve">Prima anual de la fianza</t>
  </si>
  <si>
    <t xml:space="preserve">F: Banco General 1.07%-1.605% anual (mar-2026)</t>
  </si>
  <si>
    <t xml:space="preserve">bid_bond</t>
  </si>
  <si>
    <t xml:space="preserve">Fianza de propuesta en la LPU (% de la oferta, renglones con referencia &gt; B/.70,000)</t>
  </si>
  <si>
    <t xml:space="preserve">F: pliego LPU 01-2026 cl. 8.14 (vigencia 180 días hábiles); subasta MINSA y compra conjunta 2024 sin fianza de propuesta</t>
  </si>
  <si>
    <t xml:space="preserve">bid_m</t>
  </si>
  <si>
    <t xml:space="preserve">Meses de colateral de la fianza de propuesta antes de iniciar cada contrato de la LPU</t>
  </si>
  <si>
    <t xml:space="preserve">E: oferta, evaluación, adjudicación y refrendo</t>
  </si>
  <si>
    <t xml:space="preserve">mincash_m</t>
  </si>
  <si>
    <t xml:space="preserve">Caja mínima operativa (meses de costos fijos)</t>
  </si>
  <si>
    <t xml:space="preserve">Política financiera</t>
  </si>
  <si>
    <t xml:space="preserve">rs_off</t>
  </si>
  <si>
    <t xml:space="preserve">Tasas oficiales por registro (DNFD 500 + MEF + Colegio)</t>
  </si>
  <si>
    <t xml:space="preserve">B/.</t>
  </si>
  <si>
    <t xml:space="preserve">F: DE 27 art. 15; MEF y Colegio guía MINSA 2012</t>
  </si>
  <si>
    <t xml:space="preserve">rs_iea</t>
  </si>
  <si>
    <t xml:space="preserve">Análisis de control previo IEA por producto</t>
  </si>
  <si>
    <t xml:space="preserve">F: rango oficial 200-1,000 (2012); E: cotizar con el IEA</t>
  </si>
  <si>
    <t xml:space="preserve">rs_law</t>
  </si>
  <si>
    <t xml:space="preserve">Honorario y gastos del abogado por registro</t>
  </si>
  <si>
    <t xml:space="preserve">F: SignatureLex 600 + 750; arancel mínimo 500</t>
  </si>
  <si>
    <t xml:space="preserve">rs_smp</t>
  </si>
  <si>
    <t xml:space="preserve">Muestras y courier por registro</t>
  </si>
  <si>
    <t xml:space="preserve">E</t>
  </si>
  <si>
    <t xml:space="preserve">rs_succ</t>
  </si>
  <si>
    <t xml:space="preserve">Registros aprobados / registros presentados</t>
  </si>
  <si>
    <t xml:space="preserve">E: expedientes débiles, observaciones de la DNFD</t>
  </si>
  <si>
    <t xml:space="preserve">postreg</t>
  </si>
  <si>
    <t xml:space="preserve">Análisis posregistro por producto (2 en 5 años), por año</t>
  </si>
  <si>
    <t xml:space="preserve">F: Ley 419 art. 67; E: costo</t>
  </si>
  <si>
    <t xml:space="preserve">n2</t>
  </si>
  <si>
    <t xml:space="preserve">Productos de la segunda ola (sin equivalencia terapéutica, fabricante verificado)</t>
  </si>
  <si>
    <t xml:space="preserve">SKU</t>
  </si>
  <si>
    <t xml:space="preserve">E: candidatos del catálogo con compras públicas: ibuprofeno 400, ambroxol jarabe, gliclazida 80, amoxicilina susp., loratadina, diclofenaco, eritromicina, cefepima</t>
  </si>
  <si>
    <t xml:space="preserve">m2</t>
  </si>
  <si>
    <t xml:space="preserve">Mes en que se presentan los registros de la segunda ola</t>
  </si>
  <si>
    <t xml:space="preserve">Decisión: solo si la primera ola cumple la compuerta</t>
  </si>
  <si>
    <t xml:space="preserve">rel2</t>
  </si>
  <si>
    <t xml:space="preserve">Ingreso por producto de la segunda ola vs promedio de la primera</t>
  </si>
  <si>
    <t xml:space="preserve">E: los mejores productos van en la primera ola</t>
  </si>
  <si>
    <t xml:space="preserve">fact_share</t>
  </si>
  <si>
    <t xml:space="preserve">Porcentaje de las ventas que se factoriza</t>
  </si>
  <si>
    <t xml:space="preserve">Opción de financiamiento; Ley 22 art. 97 permite ceder créditos</t>
  </si>
  <si>
    <t xml:space="preserve">fact_cost</t>
  </si>
  <si>
    <t xml:space="preserve">Costo mensual del factoring sobre el monto cedido</t>
  </si>
  <si>
    <t xml:space="preserve">F: Balboa Factoring 2025: 14.6%-18.3% anual</t>
  </si>
  <si>
    <t xml:space="preserve">stop_det</t>
  </si>
  <si>
    <t xml:space="preserve">Mes de cierre del negocio (61 = no se cierra)</t>
  </si>
  <si>
    <t xml:space="preserve">Compuerta operativa: cerrar si nueve meses después de la primera venta las ventas anualizadas no cubren el umbral</t>
  </si>
  <si>
    <t xml:space="preserve">inv_liq</t>
  </si>
  <si>
    <t xml:space="preserve">Recuperación del inventario si se cierra</t>
  </si>
  <si>
    <t xml:space="preserve">E: venta a otros distribuidores o devolución parcial</t>
  </si>
  <si>
    <t xml:space="preserve">isr</t>
  </si>
  <si>
    <t xml:space="preserve">Impuesto sobre la renta</t>
  </si>
  <si>
    <t xml:space="preserve">F: Código Fiscal art. 699</t>
  </si>
  <si>
    <t xml:space="preserve">divtax</t>
  </si>
  <si>
    <t xml:space="preserve">Impuesto de dividendos</t>
  </si>
  <si>
    <t xml:space="preserve">F: Código Fiscal art. 733</t>
  </si>
  <si>
    <t xml:space="preserve">aviso</t>
  </si>
  <si>
    <t xml:space="preserve">Impuesto de aviso de operación (% del patrimonio al cierre de cada año; mínimo B/.100; pagado en marzo)</t>
  </si>
  <si>
    <t xml:space="preserve">F: Ley 8 de 2010 art. 69 (Código Fiscal art. 1004); base = activos menos pasivos (PwC). En el modelo no se deduce de la renta</t>
  </si>
  <si>
    <t xml:space="preserve">oncost</t>
  </si>
  <si>
    <t xml:space="preserve">Cargas laborales sobre sueldos del regente y del coordinador</t>
  </si>
  <si>
    <t xml:space="preserve">F: CSS patronal 13.25% (sube a 15.25% en 2029, Ley 462 de 2025), seguro educativo 1.5%, riesgos profesionales, XIII mes y prima de antigüedad (PwC 2026; Código de Trabajo); E: promedio del horizonte</t>
  </si>
  <si>
    <t xml:space="preserve">itbms_srv</t>
  </si>
  <si>
    <t xml:space="preserve">ITBMS no recuperable sobre servicios contratados</t>
  </si>
  <si>
    <t xml:space="preserve">F: ITBMS 7% (DGI); recuperable como "asimilado a exportador" solo si la S.A. se dedica exclusivamente a importar medicamentos y vende todo en Panamá (Ley 8 de 2010 art. 80)</t>
  </si>
  <si>
    <t xml:space="preserve">payout</t>
  </si>
  <si>
    <t xml:space="preserve">Porcentaje distribuible que se reparte cada año</t>
  </si>
  <si>
    <t xml:space="preserve">Política</t>
  </si>
  <si>
    <t xml:space="preserve">disc</t>
  </si>
  <si>
    <t xml:space="preserve">Tasa de descuento anual para el VPN</t>
  </si>
  <si>
    <t xml:space="preserve">E: retorno exigido a una pyme nueva con riesgo de socio y de cobro</t>
  </si>
  <si>
    <t xml:space="preserve">recov</t>
  </si>
  <si>
    <t xml:space="preserve">Recuperación del capital de trabajo al cierre (cobro, inventario, colateral)</t>
  </si>
  <si>
    <t xml:space="preserve">gc_mult</t>
  </si>
  <si>
    <t xml:space="preserve">Múltiplo de la utilidad neta del año 5 (negocio en marcha)</t>
  </si>
  <si>
    <t xml:space="preserve">E: distribuidora pequeña con un solo cliente estatal</t>
  </si>
  <si>
    <t xml:space="preserve">patel_eq</t>
  </si>
  <si>
    <t xml:space="preserve">Participación de Patel en la S.A.</t>
  </si>
  <si>
    <t xml:space="preserve">F: propuesta de Patel (50/50)</t>
  </si>
  <si>
    <t xml:space="preserve">patel_cash</t>
  </si>
  <si>
    <t xml:space="preserve">Porcentaje del capital que aporta Patel</t>
  </si>
  <si>
    <t xml:space="preserve">F: Patel pide dividir costos 50/50</t>
  </si>
  <si>
    <t xml:space="preserve">jaime_frac</t>
  </si>
  <si>
    <t xml:space="preserve">Fracción de un socio dentro del 50% panameño</t>
  </si>
  <si>
    <t xml:space="preserve">F: tres socios panameños por partes iguales</t>
  </si>
  <si>
    <t xml:space="preserve">zy_markup</t>
  </si>
  <si>
    <t xml:space="preserve">Margen de Zywie sobre el precio de fábrica (dentro del índice del proveedor)</t>
  </si>
  <si>
    <t xml:space="preserve">E: comercializadora intermediaria</t>
  </si>
  <si>
    <t xml:space="preserve">Costos fijos mensuales (B/./mes)</t>
  </si>
  <si>
    <t xml:space="preserve">#</t>
  </si>
  <si>
    <t xml:space="preserve">Concepto</t>
  </si>
  <si>
    <t xml:space="preserve">Inicio</t>
  </si>
  <si>
    <t xml:space="preserve">Usado (con cargas o ITBMS)</t>
  </si>
  <si>
    <t xml:space="preserve">Mes inicio</t>
  </si>
  <si>
    <t xml:space="preserve">Tipo</t>
  </si>
  <si>
    <t xml:space="preserve">Regente farmacéutico (medio tiempo, mínimo 4 h/día)</t>
  </si>
  <si>
    <t xml:space="preserve">licencia</t>
  </si>
  <si>
    <t xml:space="preserve">F: DE 27 art. 382; SignatureLex 400-500; Paylab 1,339-3,228 tiempo completo</t>
  </si>
  <si>
    <t xml:space="preserve">sueldo + cargas laborales</t>
  </si>
  <si>
    <t xml:space="preserve">3PL farmacéutico licenciado: cuota mínima</t>
  </si>
  <si>
    <t xml:space="preserve">B7: mínimo 300-1,200; sin cotización firme</t>
  </si>
  <si>
    <t xml:space="preserve">servicio + ITBMS</t>
  </si>
  <si>
    <t xml:space="preserve">Contabilidad e impuestos</t>
  </si>
  <si>
    <t xml:space="preserve">mes 1</t>
  </si>
  <si>
    <t xml:space="preserve">Auditoría anual (requisito de fianzas y Registro de Oferentes), prorrateada</t>
  </si>
  <si>
    <t xml:space="preserve">F: DE 27 art. 725 exige estados certificados por CPA; E: costo</t>
  </si>
  <si>
    <t xml:space="preserve">Asesoría legal por hora (sin iguala mensual)</t>
  </si>
  <si>
    <t xml:space="preserve">E; SignatureLex propone iguala de 2,000</t>
  </si>
  <si>
    <t xml:space="preserve">Coordinador de licitaciones y operaciones (medio tiempo)</t>
  </si>
  <si>
    <t xml:space="preserve">registros - 1</t>
  </si>
  <si>
    <t xml:space="preserve">E: alguien debe vigilar PanamaCompra a diario y armar ofertas</t>
  </si>
  <si>
    <t xml:space="preserve">Seguros (responsabilidad civil y de producto)</t>
  </si>
  <si>
    <t xml:space="preserve">otro</t>
  </si>
  <si>
    <t xml:space="preserve">Software, banca, telecomunicaciones y administración</t>
  </si>
  <si>
    <t xml:space="preserve">Impuesto municipal</t>
  </si>
  <si>
    <t xml:space="preserve">F: tope PwC; E: tramo</t>
  </si>
  <si>
    <t xml:space="preserve">Total costos fijos a plena operación</t>
  </si>
  <si>
    <t xml:space="preserve">Gastos de arranque, una sola vez (B/.)</t>
  </si>
  <si>
    <t xml:space="preserve">Mes</t>
  </si>
  <si>
    <t xml:space="preserve">Usado (con ITBMS)</t>
  </si>
  <si>
    <t xml:space="preserve">Due diligence de fabricante y documentos (fase 0, antes de constituir)</t>
  </si>
  <si>
    <t xml:space="preserve">E: auditoría virtual de planta y verificación documental</t>
  </si>
  <si>
    <t xml:space="preserve">Constitución, libros, poderes, RUC, aviso de operación y municipal</t>
  </si>
  <si>
    <t xml:space="preserve">F: SignatureLex ~5,700; Díaz &amp; Asociados 1,500 (S.A. operativa)</t>
  </si>
  <si>
    <t xml:space="preserve">Pacto de accionistas, contrato de suministro exclusivo y acuerdo de calidad</t>
  </si>
  <si>
    <t xml:space="preserve">F: SignatureLex 1,500 + 1% escalonado; E</t>
  </si>
  <si>
    <t xml:space="preserve">Diagnóstico regulatorio inicial y matriz de portafolio</t>
  </si>
  <si>
    <t xml:space="preserve">F: SignatureLex 500 + 150</t>
  </si>
  <si>
    <t xml:space="preserve">Apoyo para abrir cuenta bancaria</t>
  </si>
  <si>
    <t xml:space="preserve">F: SignatureLex 3,000 + 150</t>
  </si>
  <si>
    <t xml:space="preserve">Licencia de operación: tasa oficial 250 + planos, SOP e inspección</t>
  </si>
  <si>
    <t xml:space="preserve">F: DE 27 art. 15 (200 + 50); SignatureLex 3,500 + 500</t>
  </si>
  <si>
    <t xml:space="preserve">Revisión del 3PL y acuerdo de calidad</t>
  </si>
  <si>
    <t xml:space="preserve">F: SignatureLex 2,500 + 150</t>
  </si>
  <si>
    <t xml:space="preserve">Programa de cumplimiento y anticorrupción</t>
  </si>
  <si>
    <t xml:space="preserve">Certificado de BPA</t>
  </si>
  <si>
    <t xml:space="preserve">F: DE 27 art. 15</t>
  </si>
  <si>
    <t xml:space="preserve">Registro patronal CSS y contratos laborales</t>
  </si>
  <si>
    <t xml:space="preserve">F: SignatureLex 750 + 150</t>
  </si>
  <si>
    <t xml:space="preserve">PanamaCompra, Registro Nacional de Oferentes y proveedor CSS</t>
  </si>
  <si>
    <t xml:space="preserve">F: SignatureLex 3 x (750 + 150); trámites sin tasa oficial</t>
  </si>
  <si>
    <t xml:space="preserve">Total arranque (incluye fase 0)</t>
  </si>
  <si>
    <t xml:space="preserve">Cargos anuales (meses 1, 13, 25, 37 y 49; el aviso de operación se calcula aparte sobre el patrimonio)</t>
  </si>
  <si>
    <t xml:space="preserve">Tasa única S.A.</t>
  </si>
  <si>
    <t xml:space="preserve">F: DGI</t>
  </si>
  <si>
    <t xml:space="preserve">Agente residente</t>
  </si>
  <si>
    <t xml:space="preserve">F: mercado 250-350</t>
  </si>
  <si>
    <t xml:space="preserve">Total cargos anuales</t>
  </si>
  <si>
    <t xml:space="preserve">Valores calculados (no editar)</t>
  </si>
  <si>
    <t xml:space="preserve">c_lic_m</t>
  </si>
  <si>
    <t xml:space="preserve">Mes de la licencia de operación</t>
  </si>
  <si>
    <t xml:space="preserve">c_rs_pay_m</t>
  </si>
  <si>
    <t xml:space="preserve">Mes en que se pagan los registros de la primera ola</t>
  </si>
  <si>
    <t xml:space="preserve">c_lead_m</t>
  </si>
  <si>
    <t xml:space="preserve">Tiempo de reposición (meses)</t>
  </si>
  <si>
    <t xml:space="preserve">c_dso_m</t>
  </si>
  <si>
    <t xml:space="preserve">Días de cobro (meses)</t>
  </si>
  <si>
    <t xml:space="preserve">c_credit_m</t>
  </si>
  <si>
    <t xml:space="preserve">Crédito del proveedor (meses)</t>
  </si>
  <si>
    <t xml:space="preserve">c_ship_m</t>
  </si>
  <si>
    <t xml:space="preserve">Embarque a stock (meses)</t>
  </si>
  <si>
    <t xml:space="preserve">c_reg_m</t>
  </si>
  <si>
    <t xml:space="preserve">Mes de registros (entero)</t>
  </si>
  <si>
    <t xml:space="preserve">c_first_dec</t>
  </si>
  <si>
    <t xml:space="preserve">Primer mes con ventas descentralizadas</t>
  </si>
  <si>
    <t xml:space="preserve">c_cen_start</t>
  </si>
  <si>
    <t xml:space="preserve">Primer mes con contrato centralizado</t>
  </si>
  <si>
    <t xml:space="preserve">c_rt</t>
  </si>
  <si>
    <t xml:space="preserve">Meses de trámite del registro</t>
  </si>
  <si>
    <t xml:space="preserve">c_m2</t>
  </si>
  <si>
    <t xml:space="preserve">Mes de registros de la segunda ola</t>
  </si>
  <si>
    <t xml:space="preserve">c_first_dec2</t>
  </si>
  <si>
    <t xml:space="preserve">Primer mes con ventas de la segunda ola</t>
  </si>
  <si>
    <t xml:space="preserve">c_n1</t>
  </si>
  <si>
    <t xml:space="preserve">Productos presentados en la primera ola</t>
  </si>
  <si>
    <t xml:space="preserve">c_k2</t>
  </si>
  <si>
    <t xml:space="preserve">Factor de escala de la segunda ola</t>
  </si>
  <si>
    <t xml:space="preserve">c_rs_unit</t>
  </si>
  <si>
    <t xml:space="preserve">Costo total por registro (B/.; ITBMS sobre el abogado)</t>
  </si>
  <si>
    <t xml:space="preserve">c_bid_m</t>
  </si>
  <si>
    <t xml:space="preserve">Meses de colateral de la fianza de propuesta (entero)</t>
  </si>
  <si>
    <t xml:space="preserve">c_n_reg1</t>
  </si>
  <si>
    <t xml:space="preserve">Registros aprobados esperados, primera ola</t>
  </si>
  <si>
    <t xml:space="preserve">c_n_reg2</t>
  </si>
  <si>
    <t xml:space="preserve">Registros aprobados esperados, segunda ola</t>
  </si>
  <si>
    <t xml:space="preserve">Portafolio y economía por producto</t>
  </si>
  <si>
    <t xml:space="preserve">Demanda pública anualizada 2025-26 (r2e); precios medianos o adjudicados; costos puestos con referencias de India (B2). Ventas a madurez antes de rampa y erosión.</t>
  </si>
  <si>
    <t xml:space="preserve">Canales: LPU = licitación de precio único CSS; MINSA central = subasta en reversa o compra conjunta; desc. = contratación menor y compra menor ágil.</t>
  </si>
  <si>
    <t xml:space="preserve">ID</t>
  </si>
  <si>
    <t xml:space="preserve">Producto</t>
  </si>
  <si>
    <t xml:space="preserve">Grupo</t>
  </si>
  <si>
    <t xml:space="preserve">Incluir (1/0)</t>
  </si>
  <si>
    <t xml:space="preserve">FOB base (B/./u)</t>
  </si>
  <si>
    <t xml:space="preserve">Logística (B/./u)</t>
  </si>
  <si>
    <t xml:space="preserve">Fuente del costo</t>
  </si>
  <si>
    <t xml:space="preserve">CSS LPU: unid./año</t>
  </si>
  <si>
    <t xml:space="preserve">CSS LPU: precio</t>
  </si>
  <si>
    <t xml:space="preserve">MINSA central: unid./año</t>
  </si>
  <si>
    <t xml:space="preserve">MINSA central: precio</t>
  </si>
  <si>
    <t xml:space="preserve">CSS desc.: unid./año</t>
  </si>
  <si>
    <t xml:space="preserve">CSS desc.: precio</t>
  </si>
  <si>
    <t xml:space="preserve">MINSA/patronatos desc.: unid./año</t>
  </si>
  <si>
    <t xml:space="preserve">MINSA/patronatos desc.: precio</t>
  </si>
  <si>
    <t xml:space="preserve">Costo puesto en Panamá</t>
  </si>
  <si>
    <t xml:space="preserve">Precio oferta LPU</t>
  </si>
  <si>
    <t xml:space="preserve">Precio oferta MINSA central</t>
  </si>
  <si>
    <t xml:space="preserve">Precio oferta CSS desc.</t>
  </si>
  <si>
    <t xml:space="preserve">Precio oferta MINSA desc.</t>
  </si>
  <si>
    <t xml:space="preserve">Margen LPU</t>
  </si>
  <si>
    <t xml:space="preserve">Margen MINSA central</t>
  </si>
  <si>
    <t xml:space="preserve">Margen CSS desc.</t>
  </si>
  <si>
    <t xml:space="preserve">Margen MINSA desc.</t>
  </si>
  <si>
    <t xml:space="preserve">Oferta LPU</t>
  </si>
  <si>
    <t xml:space="preserve">Oferta MINSA central</t>
  </si>
  <si>
    <t xml:space="preserve">Oferta CSS desc.</t>
  </si>
  <si>
    <t xml:space="preserve">Oferta MINSA desc.</t>
  </si>
  <si>
    <t xml:space="preserve">Ventas CSS desc. (madurez)</t>
  </si>
  <si>
    <t xml:space="preserve">Ventas MINSA desc. (madurez)</t>
  </si>
  <si>
    <t xml:space="preserve">Ventas LPU si gana</t>
  </si>
  <si>
    <t xml:space="preserve">Ventas MINSA central si gana</t>
  </si>
  <si>
    <t xml:space="preserve">Costo CSS desc.</t>
  </si>
  <si>
    <t xml:space="preserve">Costo MINSA desc.</t>
  </si>
  <si>
    <t xml:space="preserve">Costo LPU</t>
  </si>
  <si>
    <t xml:space="preserve">Costo MINSA central</t>
  </si>
  <si>
    <t xml:space="preserve">Ventas esperadas año maduro</t>
  </si>
  <si>
    <t xml:space="preserve">Utilidad bruta esperada</t>
  </si>
  <si>
    <t xml:space="preserve">Costo FOB (para Zywie)</t>
  </si>
  <si>
    <t xml:space="preserve">Oferta LPU con fianza de propuesta (B/./año)</t>
  </si>
  <si>
    <t xml:space="preserve">PCT500</t>
  </si>
  <si>
    <t xml:space="preserve">Paracetamol 500 mg tableta</t>
  </si>
  <si>
    <t xml:space="preserve">Bueno</t>
  </si>
  <si>
    <t xml:space="preserve">B2 landed.csv: FOB = TNMSC L1 x1.4; adder LCL 200 USD/CBM</t>
  </si>
  <si>
    <t xml:space="preserve">PCTSYR</t>
  </si>
  <si>
    <t xml:space="preserve">Paracetamol 120-160 mg/5 ml jarabe (frasco 120 ml)</t>
  </si>
  <si>
    <t xml:space="preserve">B2: TNMSC 60 ml x1.7 escalado a 120 ml; adder por volumen</t>
  </si>
  <si>
    <t xml:space="preserve">AMCTAB</t>
  </si>
  <si>
    <t xml:space="preserve">Amoxicilina + clavulánico 500/125 mg tableta</t>
  </si>
  <si>
    <t xml:space="preserve">B2: TNMSC empanelment L1 x1.4</t>
  </si>
  <si>
    <t xml:space="preserve">AMCSUS</t>
  </si>
  <si>
    <t xml:space="preserve">Amoxicilina + clavulánico 400/57 mg/5 ml suspensión (100 ml)</t>
  </si>
  <si>
    <t xml:space="preserve">B2: derivado de Jan Aushadhi MRP; baja confianza</t>
  </si>
  <si>
    <t xml:space="preserve">CRO1G</t>
  </si>
  <si>
    <t xml:space="preserve">Ceftriaxona 1 g vial</t>
  </si>
  <si>
    <t xml:space="preserve">B2: Delhi RC 2022; exportaciones Seair 0.21-0.37</t>
  </si>
  <si>
    <t xml:space="preserve">CTX1G</t>
  </si>
  <si>
    <t xml:space="preserve">Cefotaxima 1 g vial</t>
  </si>
  <si>
    <t xml:space="preserve">B2: derivado de Jan Aushadhi MRP</t>
  </si>
  <si>
    <t xml:space="preserve">ALBSUS</t>
  </si>
  <si>
    <t xml:space="preserve">Albendazol 400 mg/10 ml suspensión</t>
  </si>
  <si>
    <t xml:space="preserve">B2: Delhi RC 2022 x1.35 (frasco 10 ml)</t>
  </si>
  <si>
    <t xml:space="preserve">MBZ100</t>
  </si>
  <si>
    <t xml:space="preserve">Mebendazol 100 mg tableta</t>
  </si>
  <si>
    <t xml:space="preserve">NYSSUS</t>
  </si>
  <si>
    <t xml:space="preserve">Nistatina 100,000 UI/ml suspensión</t>
  </si>
  <si>
    <t xml:space="preserve">E: sin precio público; supuesto a confirmar con Zywie</t>
  </si>
  <si>
    <t xml:space="preserve">HCTCRM</t>
  </si>
  <si>
    <t xml:space="preserve">Hidrocortisona crema (línea corticoide baja potencia)</t>
  </si>
  <si>
    <t xml:space="preserve">B2: derivado de Jan Aushadhi MRP (tubo 15 g)</t>
  </si>
  <si>
    <t xml:space="preserve">MOMCRM</t>
  </si>
  <si>
    <t xml:space="preserve">Mometasona 0.1% crema (línea corticoide alta potencia)</t>
  </si>
  <si>
    <t xml:space="preserve">E: Jan Aushadhi MRP INR 16.88/15 g x0.55</t>
  </si>
  <si>
    <t xml:space="preserve">AMI10</t>
  </si>
  <si>
    <t xml:space="preserve">Amitriptilina 10 mg tableta</t>
  </si>
  <si>
    <t xml:space="preserve">CNS</t>
  </si>
  <si>
    <t xml:space="preserve">E: Jan Aushadhi MRP INR 0.681/tab x0.54</t>
  </si>
  <si>
    <t xml:space="preserve">AMI25</t>
  </si>
  <si>
    <t xml:space="preserve">Amitriptilina 25 mg tableta</t>
  </si>
  <si>
    <t xml:space="preserve">B2: TNMSC L1 x1.4</t>
  </si>
  <si>
    <t xml:space="preserve">QTP25</t>
  </si>
  <si>
    <t xml:space="preserve">Quetiapina 25 mg tableta</t>
  </si>
  <si>
    <t xml:space="preserve">E: Jan Aushadhi MRP INR 1.031/tab x0.54</t>
  </si>
  <si>
    <t xml:space="preserve">QTP100</t>
  </si>
  <si>
    <t xml:space="preserve">Quetiapina 100 mg tableta</t>
  </si>
  <si>
    <t xml:space="preserve">E: Jan Aushadhi MRP INR 3.403/tab x0.54</t>
  </si>
  <si>
    <t xml:space="preserve">QTP200</t>
  </si>
  <si>
    <t xml:space="preserve">Quetiapina 200 mg tableta</t>
  </si>
  <si>
    <t xml:space="preserve">E: Jan Aushadhi MRP INR 6.094/tab x0.54</t>
  </si>
  <si>
    <t xml:space="preserve">TPM100</t>
  </si>
  <si>
    <t xml:space="preserve">Topiramato 100 mg tableta</t>
  </si>
  <si>
    <t xml:space="preserve">CLF4</t>
  </si>
  <si>
    <t xml:space="preserve">Clorfeniramina 4 mg tableta</t>
  </si>
  <si>
    <t xml:space="preserve">Modi</t>
  </si>
  <si>
    <t xml:space="preserve">B2: Delhi RC 2022</t>
  </si>
  <si>
    <t xml:space="preserve">PRD5</t>
  </si>
  <si>
    <t xml:space="preserve">Prednisolona 5 mg tableta</t>
  </si>
  <si>
    <t xml:space="preserve">E: Jan Aushadhi MRP INR 0.50/tab x0.54</t>
  </si>
  <si>
    <t xml:space="preserve">Totales (productos incluidos)</t>
  </si>
  <si>
    <t xml:space="preserve">Flujo mensual (B/.)</t>
  </si>
  <si>
    <t xml:space="preserve">Mes 0</t>
  </si>
  <si>
    <t xml:space="preserve">Año</t>
  </si>
  <si>
    <t xml:space="preserve">Factor de erosión de precios</t>
  </si>
  <si>
    <t xml:space="preserve">Negocio activo (1/0)</t>
  </si>
  <si>
    <t xml:space="preserve">Rampa primera ola</t>
  </si>
  <si>
    <t xml:space="preserve">Rampa segunda ola</t>
  </si>
  <si>
    <t xml:space="preserve">Contratos centralizados activos</t>
  </si>
  <si>
    <t xml:space="preserve">Centralizado segunda ola</t>
  </si>
  <si>
    <t xml:space="preserve">Multiplicador descentralizado (olas)</t>
  </si>
  <si>
    <t xml:space="preserve">Multiplicador centralizado (olas)</t>
  </si>
  <si>
    <t xml:space="preserve">Ventas descentralizadas</t>
  </si>
  <si>
    <t xml:space="preserve">Ventas centralizadas</t>
  </si>
  <si>
    <t xml:space="preserve">VENTAS TOTALES</t>
  </si>
  <si>
    <t xml:space="preserve">Costo de ventas descentralizado</t>
  </si>
  <si>
    <t xml:space="preserve">Costo de ventas centralizado</t>
  </si>
  <si>
    <t xml:space="preserve">COSTO DE VENTAS</t>
  </si>
  <si>
    <t xml:space="preserve">Inventario objetivo al cierre (costo)</t>
  </si>
  <si>
    <t xml:space="preserve">Mercancía recibida (costo, incl. mermas)</t>
  </si>
  <si>
    <t xml:space="preserve">Pago de anticipos al proveedor</t>
  </si>
  <si>
    <t xml:space="preserve">Pago de saldos al proveedor</t>
  </si>
  <si>
    <t xml:space="preserve">PAGOS AL PROVEEDOR</t>
  </si>
  <si>
    <t xml:space="preserve">COBRANZA (incl. liquidación de inventario al cierre)</t>
  </si>
  <si>
    <t xml:space="preserve">Gastos variables (distribución y multas)</t>
  </si>
  <si>
    <t xml:space="preserve">Costos fijos</t>
  </si>
  <si>
    <t xml:space="preserve">Análisis posregistro</t>
  </si>
  <si>
    <t xml:space="preserve">Gastos de arranque</t>
  </si>
  <si>
    <t xml:space="preserve">Registros sanitarios</t>
  </si>
  <si>
    <t xml:space="preserve">Cargos anuales</t>
  </si>
  <si>
    <t xml:space="preserve">Monto afianzado (cumplimiento, sobre la cantidad máxima)</t>
  </si>
  <si>
    <t xml:space="preserve">Fianza de propuesta vigente (LPU)</t>
  </si>
  <si>
    <t xml:space="preserve">Colateral inmovilizado</t>
  </si>
  <si>
    <t xml:space="preserve">Cambio en colateral</t>
  </si>
  <si>
    <t xml:space="preserve">Prima de fianzas</t>
  </si>
  <si>
    <t xml:space="preserve">Costo de factoring</t>
  </si>
  <si>
    <t xml:space="preserve">Pérdida de inventario por cierre</t>
  </si>
  <si>
    <t xml:space="preserve">UTILIDAD ANTES DE IMPUESTOS</t>
  </si>
  <si>
    <t xml:space="preserve">Impuesto sobre la renta pagado</t>
  </si>
  <si>
    <t xml:space="preserve">Impuesto de aviso de operación pagado</t>
  </si>
  <si>
    <t xml:space="preserve">Caja antes de aportes</t>
  </si>
  <si>
    <t xml:space="preserve">Caja mínima requerida</t>
  </si>
  <si>
    <t xml:space="preserve">APORTE DE CAPITAL</t>
  </si>
  <si>
    <t xml:space="preserve">DIVIDENDO PAGADO</t>
  </si>
  <si>
    <t xml:space="preserve">CAJA AL CIERRE</t>
  </si>
  <si>
    <t xml:space="preserve">FLUJO DE LOS ACCIONISTAS (sin valor terminal)</t>
  </si>
  <si>
    <t xml:space="preserve">La columna del mes 61 solo sirve para mirar el costo del mes siguiente al fijar el inventario del mes 60.</t>
  </si>
  <si>
    <t xml:space="preserve">Estado de resultados e impuestos (B/.)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</si>
  <si>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</si>
  <si>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</si>
  <si>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</si>
  <si>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</si>
  <si>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</si>
  <si>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Total</t>
  </si>
  <si>
    <t xml:space="preserve">Ventas</t>
  </si>
  <si>
    <t xml:space="preserve">Costo de ventas (incl. mermas)</t>
  </si>
  <si>
    <t xml:space="preserve">Gastos variables, incobrables y factoring</t>
  </si>
  <si>
    <t xml:space="preserve">Costos fijos y cargos anuales</t>
  </si>
  <si>
    <t xml:space="preserve">Arranque y registros sanitarios</t>
  </si>
  <si>
    <t xml:space="preserve">Fianzas, posregistro y pérdidas por cierre</t>
  </si>
  <si>
    <t xml:space="preserve">Utilidad antes de impuestos</t>
  </si>
  <si>
    <t xml:space="preserve">Pérdidas acumuladas deducibles este año (20% de cada pérdida previa)</t>
  </si>
  <si>
    <t xml:space="preserve">Deducción aplicada (tope 50% de la renta)</t>
  </si>
  <si>
    <t xml:space="preserve">Renta gravable</t>
  </si>
  <si>
    <t xml:space="preserve">Impuesto sobre la renta (o CAIR si ventas &gt; B/.1.5 millones)</t>
  </si>
  <si>
    <t xml:space="preserve">Utilidad neta</t>
  </si>
  <si>
    <t xml:space="preserve">Margen neto</t>
  </si>
  <si>
    <t xml:space="preserve">Memo: impuesto de aviso de operación pagado (no se deduce de la renta en el modelo)</t>
  </si>
  <si>
    <t xml:space="preserve">Punto de equilibrio (ventas anuales que cubren fijos)</t>
  </si>
  <si>
    <t xml:space="preserve">Costos fijos anuales a plena operación</t>
  </si>
  <si>
    <t xml:space="preserve">Margen bruto promedio del portafolio</t>
  </si>
  <si>
    <t xml:space="preserve">Gastos variables (% ventas)</t>
  </si>
  <si>
    <t xml:space="preserve">Ventas de equilibrio (B/./año)</t>
  </si>
  <si>
    <t xml:space="preserve">Ventas esperadas de la primera ola en madurez (B/./año)</t>
  </si>
  <si>
    <t xml:space="preserve">Valoración y capital requerido</t>
  </si>
  <si>
    <t xml:space="preserve">Capital aportado por los socios durante 60 meses</t>
  </si>
  <si>
    <t xml:space="preserve">Gasto de fase 0 (antes de constituir, lo pagan los socios)</t>
  </si>
  <si>
    <t xml:space="preserve">Dividendos pagados (antes del 10%)</t>
  </si>
  <si>
    <t xml:space="preserve">Caja al mes 60</t>
  </si>
  <si>
    <t xml:space="preserve">Cuentas por cobrar al mes 60</t>
  </si>
  <si>
    <t xml:space="preserve">Inventario al mes 60</t>
  </si>
  <si>
    <t xml:space="preserve">Colateral de fianzas al mes 60</t>
  </si>
  <si>
    <t xml:space="preserve">Cuentas por pagar al proveedor al mes 60</t>
  </si>
  <si>
    <t xml:space="preserve">Capital de trabajo neto al mes 60</t>
  </si>
  <si>
    <t xml:space="preserve">Impuesto sobre la renta y aviso de operación del año 5 por pagar</t>
  </si>
  <si>
    <t xml:space="preserve">Valor terminal conservador (caja + recuperación del capital de trabajo)</t>
  </si>
  <si>
    <t xml:space="preserve">Valor terminal como negocio en marcha (caja + múltiplo de la utilidad del año 5)</t>
  </si>
  <si>
    <t xml:space="preserve">Valor terminal usado en el caso "en marcha" (el mayor)</t>
  </si>
  <si>
    <t xml:space="preserve">Valor terminal neto del impuesto de dividendos (conservador)</t>
  </si>
  <si>
    <t xml:space="preserve">Valor terminal neto del impuesto de dividendos (en marcha)</t>
  </si>
  <si>
    <t xml:space="preserve">Flujo de los accionistas, conservador (mes 0 a 60, sigue a la derecha)</t>
  </si>
  <si>
    <t xml:space="preserve">Flujo de los accionistas, en marcha</t>
  </si>
  <si>
    <t xml:space="preserve">VPN al 15% anual (conservador)</t>
  </si>
  <si>
    <t xml:space="preserve">VPN a la tasa de descuento del escenario (conservador)</t>
  </si>
  <si>
    <t xml:space="preserve">VPN al 15% anual (en marcha)</t>
  </si>
  <si>
    <t xml:space="preserve">TIR anual (conservador)</t>
  </si>
  <si>
    <t xml:space="preserve">TIR anual (en marcha)</t>
  </si>
  <si>
    <t xml:space="preserve">Múltiplo del capital (lo que vuelve / lo que se pone), conservador</t>
  </si>
  <si>
    <t xml:space="preserve">Capital máximo acumulado (pico de necesidad de caja de los socios)</t>
  </si>
  <si>
    <t xml:space="preserve">Ganancia de Zywie por su margen sobre el precio de fábrica (60 meses)</t>
  </si>
  <si>
    <t xml:space="preserve">Flujo acumulado (conservador, sin valor terminal)</t>
  </si>
  <si>
    <t xml:space="preserve">Flujo acumulado de los accionistas</t>
  </si>
  <si>
    <t xml:space="preserve">Vista de un socio (participación y aportes según el trato)</t>
  </si>
  <si>
    <t xml:space="preserve">Participación del socio en las utilidades</t>
  </si>
  <si>
    <t xml:space="preserve">Porcentaje del capital que aporta el socio</t>
  </si>
  <si>
    <t xml:space="preserve">Capital total que pondría el socio (incluye su tercio de la fase 0)</t>
  </si>
  <si>
    <t xml:space="preserve">Lo que recibiría el socio (dividendos y valor terminal netos, conservador)</t>
  </si>
  <si>
    <t xml:space="preserve">Resultado neto del socio en 5 años (sin descontar)</t>
  </si>
  <si>
    <t xml:space="preserve">Capital del socio como % de sus ahorros líquidos (celda C17 de la hoja Capital por socio)</t>
  </si>
  <si>
    <t xml:space="preserve">Reparto del valor económico entre Patel y el lado panameño (nominal, 60 meses, conservador)</t>
  </si>
  <si>
    <t xml:space="preserve">Valor neto para todos los accionistas (lo que vuelve menos lo que se pone)</t>
  </si>
  <si>
    <t xml:space="preserve">Patel: margen de Zywie + su parte de lo distribuido - su parte del capital</t>
  </si>
  <si>
    <t xml:space="preserve">Lado panameño (3 socios): su parte de lo distribuido - su parte del capital - fase 0</t>
  </si>
  <si>
    <t xml:space="preserve">Porcentaje del valor total que se lleva Patel</t>
  </si>
  <si>
    <t xml:space="preserve">Nota: si el valor neto total es negativo, el porcentaje no tiene interpretación útil; mire los montos.</t>
  </si>
  <si>
    <t xml:space="preserve">Resultados por escenario (valores fijos del motor en Python)</t>
  </si>
  <si>
    <t xml:space="preserve">Para recalcular en vivo, cambie Supuestos!B3. Estos valores sirven de referencia y de control cruzado.</t>
  </si>
  <si>
    <t xml:space="preserve">Indicador</t>
  </si>
  <si>
    <t xml:space="preserve">Ventas año 1</t>
  </si>
  <si>
    <t xml:space="preserve">Ventas año 2</t>
  </si>
  <si>
    <t xml:space="preserve">Ventas año 3</t>
  </si>
  <si>
    <t xml:space="preserve">Ventas año 5</t>
  </si>
  <si>
    <t xml:space="preserve">Utilidad neta año 1</t>
  </si>
  <si>
    <t xml:space="preserve">Utilidad neta año 3</t>
  </si>
  <si>
    <t xml:space="preserve">Utilidad neta año 5</t>
  </si>
  <si>
    <t xml:space="preserve">Capital aportado (60 meses)</t>
  </si>
  <si>
    <t xml:space="preserve">Pico de necesidad de caja de los socios</t>
  </si>
  <si>
    <t xml:space="preserve">VPN al 15% (conservador)</t>
  </si>
  <si>
    <t xml:space="preserve">VPN al 30% (conservador)</t>
  </si>
  <si>
    <t xml:space="preserve">VPN al 15% (en marcha)</t>
  </si>
  <si>
    <t xml:space="preserve">TIR (conservador)</t>
  </si>
  <si>
    <t xml:space="preserve">TIR (en marcha)</t>
  </si>
  <si>
    <t xml:space="preserve">Múltiplo del capital (conservador)</t>
  </si>
  <si>
    <t xml:space="preserve">Dividendos pagados</t>
  </si>
  <si>
    <t xml:space="preserve">Ganancia de Zywie por su margen</t>
  </si>
  <si>
    <t xml:space="preserve">Qué pasa si... (cambio de un supuesto sobre la base)</t>
  </si>
  <si>
    <t xml:space="preserve">Cambio</t>
  </si>
  <si>
    <t xml:space="preserve">Capital aportado</t>
  </si>
  <si>
    <t xml:space="preserve">VPN 15%</t>
  </si>
  <si>
    <t xml:space="preserve">TIR</t>
  </si>
  <si>
    <t xml:space="preserve">Múltiplo</t>
  </si>
  <si>
    <t xml:space="preserve">Crédito del proveedor 120 días, sin anticipo</t>
  </si>
  <si>
    <t xml:space="preserve">Precio del proveedor a libro abierto (índice 1.05)</t>
  </si>
  <si>
    <t xml:space="preserve">Sin coordinador pagado (los socios operan)</t>
  </si>
  <si>
    <t xml:space="preserve">Cobro en 105 días</t>
  </si>
  <si>
    <t xml:space="preserve">+ 6 productos SNC con fabricante verificado</t>
  </si>
  <si>
    <t xml:space="preserve">Escala: 20 productos en la segunda ola</t>
  </si>
  <si>
    <t xml:space="preserve">Reestructurado: crédito 120 d + índice 1.05 + coordinador 1,000</t>
  </si>
  <si>
    <t xml:space="preserve">Reestructurado + SNC</t>
  </si>
  <si>
    <t xml:space="preserve">Reestructurado + SNC + escala 20</t>
  </si>
  <si>
    <t xml:space="preserve">Base con tarifas SignatureLex</t>
  </si>
  <si>
    <t xml:space="preserve">Reestructurado + SNC + Bueno paga registros y 180 días</t>
  </si>
  <si>
    <t xml:space="preserve">Simulación de Monte Carlo (20,000 escenarios por estrategia)</t>
  </si>
  <si>
    <t xml:space="preserve">Cada escenario sortea todos los supuestos (distribución triangular pesimista-base-optimista), los registros aprobados, cada renglón centralizado ganado o perdido, fallas del socio o de la planta y las compuertas de decisión.</t>
  </si>
  <si>
    <t xml:space="preserve">Estrategia</t>
  </si>
  <si>
    <t xml:space="preserve">VPN 15% promedio</t>
  </si>
  <si>
    <t xml:space="preserve">Prob. de perder dinero</t>
  </si>
  <si>
    <t xml:space="preserve">Prob. de perder más que la fase 0</t>
  </si>
  <si>
    <t xml:space="preserve">Múltiplo mediano</t>
  </si>
  <si>
    <t xml:space="preserve">Múltiplo p90</t>
  </si>
  <si>
    <t xml:space="preserve">Capital pico mediano*</t>
  </si>
  <si>
    <t xml:space="preserve">Capital pico p90*</t>
  </si>
  <si>
    <t xml:space="preserve">S.A. propia como la propone Patel, sin compuertas</t>
  </si>
  <si>
    <t xml:space="preserve">S.A. propia, con fase 0 y compuerta operativa</t>
  </si>
  <si>
    <t xml:space="preserve">+ crédito del proveedor y precio a libro abierto</t>
  </si>
  <si>
    <t xml:space="preserve">+ Bueno paga registros y da 180 días de crédito</t>
  </si>
  <si>
    <t xml:space="preserve">+ sin coordinador pagado (un socio opera)</t>
  </si>
  <si>
    <t xml:space="preserve">Registros propios y venta por un distribuidor establecido</t>
  </si>
  <si>
    <t xml:space="preserve">* Máximo acumulado que aportan los socios, en los escenarios que pasan la fase 0. La probabilidad de perder y el múltiplo incluyen los casos que se detienen en la fase 0 (pierden solo esa fase).</t>
  </si>
  <si>
    <t xml:space="preserve">Percentiles del VPN al 15% (B/.)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</si>
  <si>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</si>
  <si>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</si>
  <si>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</si>
  <si>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</si>
  <si>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</si>
  <si>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</si>
  <si>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</si>
  <si>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Lo que arriesga un socio (1/3 de la fase 0; 1/6 del capital posterior y de las utilidades en la S.A.; 1/3 en la opción de registros)</t>
  </si>
  <si>
    <t xml:space="preserve">Capital promedio (todos los escenarios)</t>
  </si>
  <si>
    <t xml:space="preserve">Capital promedio si el trato sigue</t>
  </si>
  <si>
    <t xml:space="preserve">Capital p90 si sigue</t>
  </si>
  <si>
    <t xml:space="preserve">Resultado neto promedio</t>
  </si>
  <si>
    <t xml:space="preserve">Prob. de que pierda</t>
  </si>
  <si>
    <t xml:space="preserve">Kelly vs depósito 4%</t>
  </si>
  <si>
    <t xml:space="preserve">+ Patel aporta 70% del efectivo (sigue 50/50 en acciones)</t>
  </si>
  <si>
    <t xml:space="preserve">+ Patel aporta 80% del efectivo (sigue 50/50 en acciones)</t>
  </si>
  <si>
    <t xml:space="preserve">Capital de la opción de registros = un tercio del máximo acumulado (no hay caja común). Kelly: monto esperado que maximiza el crecimiento del patrimonio de B/.100,000; cuando el óptimo cae en el límite de no quebrar en el peor escenario, el monto es ese límite.</t>
  </si>
  <si>
    <t xml:space="preserve">Supuestos de riesgo de la simulación</t>
  </si>
  <si>
    <t xml:space="preserve">Planta con problemas de BPM: 15% de probabilidad; si la fase 0 no lo detecta (detecta 80%), provoca una falla de calidad entre los meses 12 y 36, se ejecuta la fianza y se pierde el inventario.</t>
  </si>
  <si>
    <t xml:space="preserve">Ruptura con el proveedor por otras causas: 4% anual desde el mes 6, con ejecución de fianzas.</t>
  </si>
  <si>
    <t xml:space="preserve">Fase 0: se descarta el trato si se detecta el problema de planta o si el índice de precio del proveedor supera 1.6.</t>
  </si>
  <si>
    <t xml:space="preserve">Compuerta operativa: 9 meses después de la primera venta, si las ventas anualizadas (más contratos centralizados adjudicados) no llegan a B/.90,000, se cierra y no se hace la segunda ola. Con la rampa base de 12 meses equivale a unos B/.108,000 en madurez, algo más que el equilibrio de B/.106,076.</t>
  </si>
  <si>
    <t xml:space="preserve">Cierres por compuerta: por etapas, 21% en la fase 0 y 17% en la operativa; en las versiones con los productos del sistema nervioso, 12% y 4.5%.</t>
  </si>
  <si>
    <t xml:space="preserve">Con el tope de precio de 1.1 veces de la compuerta 0 del plan (en vez de 1.6) en la versión con Bueno financiando, cuyo precio a libro abierto va de 0.95 a 1.30 veces la referencia, 52% de los escenarios se detiene en la fase 0, la probabilidad de perder más que la fase 0 queda en 15% y el VPN esperado en B/.-16,622.</t>
  </si>
  <si>
    <t xml:space="preserve">Correlaciones: participación descentralizada y probabilidad de ganar centralizado (0.6); mercado débil y mayor caída de precios (0.4).</t>
  </si>
  <si>
    <t xml:space="preserve">Sensibilidad del VPN al 15% (un supuesto a la vez, el resto en la base)</t>
  </si>
  <si>
    <t xml:space="preserve">VPN base: B/.-56,081. Capital base: B/.255,259.</t>
  </si>
  <si>
    <t xml:space="preserve">Supuesto</t>
  </si>
  <si>
    <t xml:space="preserve">Valor pesimista</t>
  </si>
  <si>
    <t xml:space="preserve">Valor optimista</t>
  </si>
  <si>
    <t xml:space="preserve">VPN pesimista</t>
  </si>
  <si>
    <t xml:space="preserve">VPN optimista</t>
  </si>
  <si>
    <t xml:space="preserve">Rango</t>
  </si>
  <si>
    <t xml:space="preserve">Costos fijos mensuales con cargas laborales e ITBMS (bloque, B/. al mes)</t>
  </si>
  <si>
    <t xml:space="preserve">Tarifas legales SignatureLex vs mercado</t>
  </si>
  <si>
    <t xml:space="preserve">mercado</t>
  </si>
  <si>
    <t xml:space="preserve">Estructuras de trato comparadas</t>
  </si>
  <si>
    <t xml:space="preserve">Efecto del margen de Zywie sobre el reparto del valor (caso base, mismo método que Valoración!C44:C48: lo distribuido menos el capital aportado).</t>
  </si>
  <si>
    <t xml:space="preserve">Margen de Zywie sobre fábrica</t>
  </si>
  <si>
    <t xml:space="preserve">Ganancia de Zywie (60 m)</t>
  </si>
  <si>
    <t xml:space="preserve">Valor para Patel</t>
  </si>
  <si>
    <t xml:space="preserve">Valor para el lado panameño</t>
  </si>
  <si>
    <t xml:space="preserve">Parte de Patel en el total</t>
  </si>
  <si>
    <t xml:space="preserve">Lectura: con 50/50 en acciones y capital y sin margen de Zywie, Patel recibe la mitad. Cada punto de margen de Zywie traslada valor del lado panameño al indio, aunque el capital se divida 50/50.</t>
  </si>
  <si>
    <t xml:space="preserve">Opción de registros propios y distribuidor establecido (participación del distribuidor en la utilidad bruta)</t>
  </si>
  <si>
    <t xml:space="preserve">Escenario y regalía</t>
  </si>
  <si>
    <t xml:space="preserve">Capital pico</t>
  </si>
  <si>
    <t xml:space="preserve">Pesimista, regalía 20% de la utilidad bruta</t>
  </si>
  <si>
    <t xml:space="preserve">n.d.</t>
  </si>
  <si>
    <t xml:space="preserve">Pesimista, regalía 30% de la utilidad bruta</t>
  </si>
  <si>
    <t xml:space="preserve">Pesimista, regalía 40% de la utilidad bruta</t>
  </si>
  <si>
    <t xml:space="preserve">Base, regalía 20% de la utilidad bruta</t>
  </si>
  <si>
    <t xml:space="preserve">Base, regalía 30% de la utilidad bruta</t>
  </si>
  <si>
    <t xml:space="preserve">Base, regalía 40% de la utilidad bruta</t>
  </si>
  <si>
    <t xml:space="preserve">Optimista, regalía 20% de la utilidad bruta</t>
  </si>
  <si>
    <t xml:space="preserve">Optimista, regalía 30% de la utilidad bruta</t>
  </si>
  <si>
    <t xml:space="preserve">Optimista, regalía 40% de la utilidad bruta</t>
  </si>
  <si>
    <t xml:space="preserve">Cuánto capital tiene sentido que arriesgue cada socio</t>
  </si>
  <si>
    <t xml:space="preserve">Criterio de Kelly sobre la distribución simulada (20,000 escenarios) con un patrimonio líquido de referencia de B/.100,000: monto esperado que maximiza el crecimiento del patrimonio. Si el trato se detiene en la fase 0, cada socio solo pierde su parte de esa fase.</t>
  </si>
  <si>
    <t xml:space="preserve">Capital promedio por socio (un tercio del lado panameño) si el trato sigue</t>
  </si>
  <si>
    <t xml:space="preserve">Kelly vs depósito al 4%/año</t>
  </si>
  <si>
    <t xml:space="preserve">Kelly vs alternativa al 15%/año</t>
  </si>
  <si>
    <t xml:space="preserve">S.A. como la propone Patel</t>
  </si>
  <si>
    <t xml:space="preserve">S.A. por etapas, reestructurada + SNC</t>
  </si>
  <si>
    <t xml:space="preserve">S.A. con Bueno financiando registros y crédito</t>
  </si>
  <si>
    <t xml:space="preserve">Lo anterior, sin coordinador pagado</t>
  </si>
  <si>
    <t xml:space="preserve">Bueno financiando, con tasa de victoria de 17% y precio de 1.25 veces</t>
  </si>
  <si>
    <t xml:space="preserve">Bueno financiando, con tope de precio de 1.1 veces en la fase 0</t>
  </si>
  <si>
    <t xml:space="preserve">Bueno financiando, Patel aporta 70% del efectivo (50/50 en acciones)</t>
  </si>
  <si>
    <t xml:space="preserve">Registros propios + distribuidor (un tercio por socio)</t>
  </si>
  <si>
    <t xml:space="preserve">Kelly va de todo a nada según los supuestos. Con Bueno financiando y capital 50/50 cae en el límite de no quebrar en el peor escenario simulado; con el tope de precio de 1.1 veces, o frente a 15% si Patel aporta 70% del efectivo, es un óptimo interior. El tope de 15% de los ahorros es una decisión de prudencia, no un resultado del modelo.</t>
  </si>
  <si>
    <t xml:space="preserve">Calculadora en vivo</t>
  </si>
  <si>
    <t xml:space="preserve">Ahorros líquidos del socio (B/.): ejemplo, cambie este valor</t>
  </si>
  <si>
    <t xml:space="preserve">Reserva para otros compromisos (B/.): ejemplo, cambie este valor</t>
  </si>
  <si>
    <t xml:space="preserve">Tope recomendado para esta inversión (% de ahorros)</t>
  </si>
  <si>
    <t xml:space="preserve">Tope en balboas</t>
  </si>
  <si>
    <t xml:space="preserve">Capital que le pediría el escenario activo (Valoración!C39)</t>
  </si>
  <si>
    <t xml:space="preserve">¿Cabe dentro del tope?</t>
  </si>
  <si>
    <t xml:space="preserve">Operación: volumen físico, embarques y vida útil</t>
  </si>
  <si>
    <t xml:space="preserve">Producto (primera ola, madurez base)</t>
  </si>
  <si>
    <t xml:space="preserve">Unidades/año</t>
  </si>
  <si>
    <t xml:space="preserve">Ventas/año</t>
  </si>
  <si>
    <t xml:space="preserve">m³/año</t>
  </si>
  <si>
    <t xml:space="preserve">Costo/año</t>
  </si>
  <si>
    <t xml:space="preserve">B/. por m³</t>
  </si>
  <si>
    <t xml:space="preserve">Lote económico de embarque (EOQ)</t>
  </si>
  <si>
    <t xml:space="preserve">Costo fijo por embarque (corredor, terminal, acarreo, documentos)</t>
  </si>
  <si>
    <t xml:space="preserve">Costo de capital anual</t>
  </si>
  <si>
    <t xml:space="preserve">Almacenaje 3PL por m³ al mes</t>
  </si>
  <si>
    <t xml:space="preserve">Riesgo de merma anual sobre el valor</t>
  </si>
  <si>
    <t xml:space="preserve">Valor por m³ del portafolio</t>
  </si>
  <si>
    <t xml:space="preserve">Costo de mantener 1 m³ un año</t>
  </si>
  <si>
    <t xml:space="preserve">Lote económico (m³ por embarque)</t>
  </si>
  <si>
    <t xml:space="preserve">Embarques por año</t>
  </si>
  <si>
    <t xml:space="preserve">Presupuesto de vida útil (regla de 18 meses al entregar)</t>
  </si>
  <si>
    <t xml:space="preserve">Vida útil aprobada del producto (meses)</t>
  </si>
  <si>
    <t xml:space="preserve">Vida útil mínima exigida al entregar (pliegos)</t>
  </si>
  <si>
    <t xml:space="preserve">Liberación en fábrica y despacho (meses)</t>
  </si>
  <si>
    <t xml:space="preserve">Tránsito y aduana (meses)</t>
  </si>
  <si>
    <t xml:space="preserve">Pedido a entrega en hospital (meses)</t>
  </si>
  <si>
    <t xml:space="preserve">Tiempo máximo que puede pasar en bodega (meses)</t>
  </si>
  <si>
    <t xml:space="preserve">Con 24 meses de vida útil solo caben 2.75 meses en bodega: reposición mensual y poco inventario. Con 36 meses caben casi 15 meses: embarques trimestrales en contenedor.</t>
  </si>
  <si>
    <t xml:space="preserve">Fuentes principales</t>
  </si>
  <si>
    <t xml:space="preserve">Fuente</t>
  </si>
  <si>
    <t xml:space="preserve">Enlace</t>
  </si>
  <si>
    <t xml:space="preserve">PanamaCompra: LPU 01-2026 CSS (348 renglones, ofertas y adjudicación)</t>
  </si>
  <si>
    <t xml:space="preserve">https://apisv3.panamacompra.gob.pa/documentos-actos-publico/cuadroPropuesta/12/procesoVistaCuadroPropuesta/712894</t>
  </si>
  <si>
    <t xml:space="preserve">PanamaCompra: LPU 11-2026 CSS</t>
  </si>
  <si>
    <t xml:space="preserve">https://apisv3.panamacompra.gob.pa/documentos-actos-publico/cuadroPropuesta/12/procesoVistaCuadroPropuesta/712187</t>
  </si>
  <si>
    <t xml:space="preserve">Pliego LPU 01-2026 (pago a 90 días, 18 meses de vida útil, fianza de cumplimiento 30%)</t>
  </si>
  <si>
    <t xml:space="preserve">https://apisv3.panamacompra.gob.pa/procesos-contratacion-archivos/v2/download-file-2325E044-04B2-F011-80EA-0017A477FC74-ZA-101-1AZ-8120731-ZA-101-1AZ-8120731</t>
  </si>
  <si>
    <t xml:space="preserve">Pliego subasta en reversa MINSA 2026 (fianza 20%)</t>
  </si>
  <si>
    <t xml:space="preserve">https://apisv3.panamacompra.gob.pa/procesos-contratacion-archivos/v2/download-file-41E2472E-8233-F111-80EA-0017A477FC64-ZA-101-1AZ-9715601-ZA-101-1AZ-9715601</t>
  </si>
  <si>
    <t xml:space="preserve">Compra conjunta 2024, pliego (fianza 15%, 70% de compra garantizada)</t>
  </si>
  <si>
    <t xml:space="preserve">https://www.panamacompra.gob.pa/includes/veranexo.aspx?idattach=Pjc6Ojg4Njo=</t>
  </si>
  <si>
    <t xml:space="preserve">ANTAI: reportes mensuales de contrataciones (CSS, MINSA, patronatos)</t>
  </si>
  <si>
    <t xml:space="preserve">https://monitoreo.antai.gob.pa/</t>
  </si>
  <si>
    <t xml:space="preserve">Decreto Ejecutivo 27 de 2024 (tasas, licencias, registros, compras)</t>
  </si>
  <si>
    <t xml:space="preserve">https://www.minsa.gob.pa/sites/default/files/general/decreto_ejecutivo_27_de_10_de_mayo_de_2024.pdf</t>
  </si>
  <si>
    <t xml:space="preserve">Ley 419 de 2024</t>
  </si>
  <si>
    <t xml:space="preserve">https://dnfd.minsa.gob.pa/sites/default/files/2025-08/Ley%20419%20de%201%20de%20febrero%20de%202024.pdf</t>
  </si>
  <si>
    <t xml:space="preserve">Resolución 985 de 2025 (173 principios activos con equivalencia terapéutica)</t>
  </si>
  <si>
    <t xml:space="preserve">https://www.minsa.gob.pa/sites/default/files/general/resolucion_985_go30317_08072025.pdf</t>
  </si>
  <si>
    <t xml:space="preserve">Resolución 181 de 2025 (BPA)</t>
  </si>
  <si>
    <t xml:space="preserve">https://dnfd.minsa.gob.pa/sites/default/files/2026-02/Resolucion%20181%20de%2014%20de%20agosto%20de%202025%20procedimiento%20de%20BPA.pdf</t>
  </si>
  <si>
    <t xml:space="preserve">DGI: Informe 930 de precios de transferencia (art. 762-I del Código Fiscal)</t>
  </si>
  <si>
    <t xml:space="preserve">https://dgi.mef.gob.pa/Internacional/I930.php</t>
  </si>
  <si>
    <t xml:space="preserve">Presupuesto CSS 2027 de medicamentos</t>
  </si>
  <si>
    <t xml:space="preserve">https://www.prensa.com/sociedad/presupuesto-2027-de-la-css-contempla-925-millones-menos-para-medicamentos/</t>
  </si>
  <si>
    <t xml:space="preserve">Panamá América: gestiones de cobro en la Contraloría de 188.5 a 5.4 días</t>
  </si>
  <si>
    <t xml:space="preserve">https://www.panamaamerica.com.pa/sociedad/gestiones-de-cobro-en-la-contraloria-pasan-de-1885-dias-en-la-administracion-cortizo-54</t>
  </si>
  <si>
    <t xml:space="preserve">Panamá América: la CSS reconoce pagos pendientes a proveedores (marzo de 2026)</t>
  </si>
  <si>
    <t xml:space="preserve">https://www.panamaamerica.com.pa/sociedad/la-css-es-un-reflejo-de-la-economia-nacional-asegura-dino-mon-1259540/amp</t>
  </si>
  <si>
    <t xml:space="preserve">Ley 8 de 2010, art. 69 (Código Fiscal art. 1004): impuesto de aviso de operación, 2% del capital</t>
  </si>
  <si>
    <t xml:space="preserve">https://docs.panama.justia.com/federales/leyes/8-de-2010-mar-15-2010.pdf</t>
  </si>
  <si>
    <t xml:space="preserve">PwC Tax Summaries Panamá: base del aviso de operación (patrimonio)</t>
  </si>
  <si>
    <t xml:space="preserve">https://taxsummaries.pwc.com/panama/corporate/other-taxes</t>
  </si>
  <si>
    <t xml:space="preserve">CDSCO: alertas de calidad marzo 2024 (Bueno Salud Care)</t>
  </si>
  <si>
    <t xml:space="preserve">https://cdsco.gov.in/opencms/resources/UploadCDSCOWeb/2018/UploadAlertsFiles/List%20of%20Drug%20Alert%20-March-2024.pdf</t>
  </si>
  <si>
    <t xml:space="preserve">Precios de referencia India: TNMSC e-018/2024</t>
  </si>
  <si>
    <t xml:space="preserve">https://tnmsc.tn.gov.in/linkfiles/news_events/N2502472.pdf</t>
  </si>
  <si>
    <t xml:space="preserve">Fletes CMA CGM subcontinente indio a Manzanillo (2026)</t>
  </si>
  <si>
    <t xml:space="preserve">https://www.ajot.com/news/cma-cgm-fak-rates-from-the-indian-subcontinent-to-latin-america-and-north-europe-the-mediterranean-north-africa</t>
  </si>
  <si>
    <t xml:space="preserve">DNFD: lista de establecimientos con licencia (sep-2026)</t>
  </si>
  <si>
    <t xml:space="preserve">https://dnfd.minsa.gob.pa/</t>
  </si>
  <si>
    <t xml:space="preserve">Banco General: tarifas de garantías (fianzas) 2026</t>
  </si>
  <si>
    <t xml:space="preserve">https://www.bgeneral.com/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</si>
</sst>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0"/>
    <numFmt numFmtId="167" formatCode="0.0%;\(0.0%\);\-"/>
    <numFmt numFmtId="168" formatCode="0.0000;\(0.0000\);\-"/>
    <numFmt numFmtId="169" formatCode="0"/>
    <numFmt numFmtId="170" formatCode="0.000"/>
    <numFmt numFmtId="171" formatCode="0.00\x"/>
    <numFmt numFmtId="172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6" t="s">
        <v>3</v>
      </c>
    </row>
    <row r="6" customFormat="false" ht="15" hidden="false" customHeight="true" outlineLevel="0" collapsed="false">
      <c r="A6" s="6" t="s">
        <v>4</v>
      </c>
    </row>
    <row r="7" customFormat="false" ht="15" hidden="false" customHeight="true" outlineLevel="0" collapsed="false">
      <c r="A7" s="6" t="s">
        <v>5</v>
      </c>
    </row>
    <row r="8" customFormat="false" ht="23.25" hidden="false" customHeight="true" outlineLevel="0" collapsed="false">
      <c r="A8" s="6" t="s">
        <v>6</v>
      </c>
    </row>
    <row r="9" customFormat="false" ht="23.25" hidden="false" customHeight="true" outlineLevel="0" collapsed="false">
      <c r="A9" s="6" t="s">
        <v>7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6" t="s">
        <v>9</v>
      </c>
    </row>
    <row r="13" customFormat="false" ht="15" hidden="false" customHeight="true" outlineLevel="0" collapsed="false">
      <c r="A13" s="6" t="s">
        <v>10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5" t="s">
        <v>11</v>
      </c>
    </row>
    <row r="16" customFormat="false" ht="23.25" hidden="false" customHeight="true" outlineLevel="0" collapsed="false">
      <c r="A16" s="6" t="s">
        <v>12</v>
      </c>
    </row>
    <row r="17" customFormat="false" ht="15" hidden="false" customHeight="true" outlineLevel="0" collapsed="false">
      <c r="A17" s="6" t="s">
        <v>13</v>
      </c>
    </row>
    <row r="18" customFormat="false" ht="15" hidden="false" customHeight="true" outlineLevel="0" collapsed="false">
      <c r="A18" s="6" t="s">
        <v>14</v>
      </c>
    </row>
    <row r="19" customFormat="false" ht="23.25" hidden="false" customHeight="true" outlineLevel="0" collapsed="false">
      <c r="A19" s="6" t="s">
        <v>15</v>
      </c>
    </row>
    <row r="20" customFormat="false" ht="23.25" hidden="false" customHeight="true" outlineLevel="0" collapsed="false">
      <c r="A20" s="6" t="s">
        <v>16</v>
      </c>
    </row>
    <row r="21" customFormat="false" ht="23.25" hidden="false" customHeight="true" outlineLevel="0" collapsed="false">
      <c r="A21" s="6" t="s">
        <v>17</v>
      </c>
    </row>
    <row r="22" customFormat="false" ht="15" hidden="false" customHeight="true" outlineLevel="0" collapsed="false">
      <c r="A22" s="6" t="s">
        <v>18</v>
      </c>
    </row>
    <row r="23" customFormat="false" ht="15" hidden="false" customHeight="true" outlineLevel="0" collapsed="false">
      <c r="A23" s="6" t="s">
        <v>19</v>
      </c>
    </row>
    <row r="24" customFormat="false" ht="23.25" hidden="false" customHeight="true" outlineLevel="0" collapsed="false">
      <c r="A24" s="6" t="s">
        <v>20</v>
      </c>
    </row>
    <row r="25" customFormat="false" ht="15" hidden="false" customHeight="true" outlineLevel="0" collapsed="false">
      <c r="A25" s="4"/>
    </row>
    <row r="26" customFormat="false" ht="15" hidden="false" customHeight="true" outlineLevel="0" collapsed="false">
      <c r="A26" s="5" t="s">
        <v>21</v>
      </c>
    </row>
    <row r="27" customFormat="false" ht="57" hidden="false" customHeight="true" outlineLevel="0" collapsed="false">
      <c r="A27" s="6" t="s">
        <v>22</v>
      </c>
    </row>
    <row r="28" customFormat="false" ht="15" hidden="false" customHeight="true" outlineLevel="0" collapsed="false">
      <c r="A28" s="6" t="s">
        <v>23</v>
      </c>
    </row>
    <row r="29" customFormat="false" ht="15" hidden="false" customHeight="true" outlineLevel="0" collapsed="false">
      <c r="A29" s="6" t="s">
        <v>24</v>
      </c>
    </row>
    <row r="30" customFormat="false" ht="23.25" hidden="false" customHeight="true" outlineLevel="0" collapsed="false">
      <c r="A30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2"/>
    <col collapsed="false" customWidth="true" hidden="false" outlineLevel="0" max="3" min="3" style="1" width="9"/>
    <col collapsed="false" customWidth="true" hidden="false" outlineLevel="0" max="7" min="4" style="1" width="12"/>
    <col collapsed="false" customWidth="true" hidden="false" outlineLevel="0" max="8" min="8" style="1" width="70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7" t="s">
        <v>26</v>
      </c>
    </row>
    <row r="3" customFormat="false" ht="15" hidden="false" customHeight="true" outlineLevel="0" collapsed="false">
      <c r="A3" s="8" t="s">
        <v>27</v>
      </c>
      <c r="B3" s="9" t="n">
        <v>2</v>
      </c>
      <c r="C3" s="10" t="str">
        <f aca="false">CHOOSE($B$3,"Pesimista","Base","Optimista")</f>
        <v>Base</v>
      </c>
    </row>
    <row r="4" customFormat="false" ht="15" hidden="false" customHeight="true" outlineLevel="0" collapsed="false">
      <c r="A4" s="8" t="s">
        <v>28</v>
      </c>
      <c r="B4" s="9" t="n">
        <v>0</v>
      </c>
      <c r="C4" s="11" t="s">
        <v>29</v>
      </c>
    </row>
    <row r="6" customFormat="false" ht="15" hidden="false" customHeight="true" outlineLevel="0" collapsed="false">
      <c r="A6" s="12" t="s">
        <v>30</v>
      </c>
      <c r="B6" s="12" t="s">
        <v>31</v>
      </c>
      <c r="C6" s="12" t="s">
        <v>32</v>
      </c>
      <c r="D6" s="12" t="s">
        <v>33</v>
      </c>
      <c r="E6" s="12" t="s">
        <v>34</v>
      </c>
      <c r="F6" s="12" t="s">
        <v>35</v>
      </c>
      <c r="G6" s="12" t="s">
        <v>36</v>
      </c>
      <c r="H6" s="12" t="s">
        <v>37</v>
      </c>
    </row>
    <row r="7" customFormat="false" ht="15" hidden="false" customHeight="true" outlineLevel="0" collapsed="false">
      <c r="A7" s="11" t="s">
        <v>38</v>
      </c>
      <c r="B7" s="13" t="s">
        <v>39</v>
      </c>
      <c r="C7" s="10" t="s">
        <v>40</v>
      </c>
      <c r="D7" s="14" t="n">
        <v>9</v>
      </c>
      <c r="E7" s="14" t="n">
        <v>6</v>
      </c>
      <c r="F7" s="14" t="n">
        <v>5</v>
      </c>
      <c r="G7" s="15" t="n">
        <f aca="false">CHOOSE(p_sc,D7,E7,F7)</f>
        <v>6</v>
      </c>
      <c r="H7" s="16" t="s">
        <v>41</v>
      </c>
    </row>
    <row r="8" customFormat="false" ht="15" hidden="false" customHeight="true" outlineLevel="0" collapsed="false">
      <c r="A8" s="11" t="s">
        <v>42</v>
      </c>
      <c r="B8" s="13" t="s">
        <v>43</v>
      </c>
      <c r="C8" s="10" t="s">
        <v>44</v>
      </c>
      <c r="D8" s="17" t="n">
        <v>120</v>
      </c>
      <c r="E8" s="17" t="n">
        <v>90</v>
      </c>
      <c r="F8" s="17" t="n">
        <v>75</v>
      </c>
      <c r="G8" s="15" t="n">
        <f aca="false">CHOOSE(p_sc,D8,E8,F8)</f>
        <v>90</v>
      </c>
      <c r="H8" s="16" t="s">
        <v>45</v>
      </c>
    </row>
    <row r="9" customFormat="false" ht="15" hidden="false" customHeight="true" outlineLevel="0" collapsed="false">
      <c r="A9" s="11" t="s">
        <v>46</v>
      </c>
      <c r="B9" s="13" t="s">
        <v>47</v>
      </c>
      <c r="C9" s="10" t="s">
        <v>48</v>
      </c>
      <c r="D9" s="17" t="n">
        <v>2</v>
      </c>
      <c r="E9" s="17" t="n">
        <v>2</v>
      </c>
      <c r="F9" s="17" t="n">
        <v>2</v>
      </c>
      <c r="G9" s="15" t="n">
        <f aca="false">CHOOSE(p_sc,D9,E9,F9)</f>
        <v>2</v>
      </c>
      <c r="H9" s="16" t="s">
        <v>49</v>
      </c>
    </row>
    <row r="10" customFormat="false" ht="15" hidden="false" customHeight="true" outlineLevel="0" collapsed="false">
      <c r="A10" s="11" t="s">
        <v>50</v>
      </c>
      <c r="B10" s="13" t="s">
        <v>51</v>
      </c>
      <c r="C10" s="10" t="s">
        <v>48</v>
      </c>
      <c r="D10" s="17" t="n">
        <v>18</v>
      </c>
      <c r="E10" s="17" t="n">
        <v>12</v>
      </c>
      <c r="F10" s="17" t="n">
        <v>9</v>
      </c>
      <c r="G10" s="15" t="n">
        <f aca="false">CHOOSE(p_sc,D10,E10,F10)</f>
        <v>12</v>
      </c>
      <c r="H10" s="16" t="s">
        <v>52</v>
      </c>
    </row>
    <row r="11" customFormat="false" ht="15" hidden="false" customHeight="true" outlineLevel="0" collapsed="false">
      <c r="A11" s="11" t="s">
        <v>53</v>
      </c>
      <c r="B11" s="13" t="s">
        <v>54</v>
      </c>
      <c r="C11" s="10" t="s">
        <v>40</v>
      </c>
      <c r="D11" s="14" t="n">
        <v>27</v>
      </c>
      <c r="E11" s="14" t="n">
        <v>15</v>
      </c>
      <c r="F11" s="14" t="n">
        <v>12</v>
      </c>
      <c r="G11" s="15" t="n">
        <f aca="false">CHOOSE(p_sc,D11,E11,F11)</f>
        <v>15</v>
      </c>
      <c r="H11" s="16" t="s">
        <v>55</v>
      </c>
    </row>
    <row r="12" customFormat="false" ht="15" hidden="false" customHeight="true" outlineLevel="0" collapsed="false">
      <c r="A12" s="11" t="s">
        <v>56</v>
      </c>
      <c r="B12" s="13" t="s">
        <v>57</v>
      </c>
      <c r="C12" s="10" t="s">
        <v>58</v>
      </c>
      <c r="D12" s="18" t="n">
        <v>0.75</v>
      </c>
      <c r="E12" s="18" t="n">
        <v>0.9</v>
      </c>
      <c r="F12" s="18" t="n">
        <v>1</v>
      </c>
      <c r="G12" s="19" t="n">
        <f aca="false">CHOOSE(p_sc,D12,E12,F12)</f>
        <v>0.9</v>
      </c>
      <c r="H12" s="16" t="s">
        <v>59</v>
      </c>
    </row>
    <row r="13" customFormat="false" ht="15" hidden="false" customHeight="true" outlineLevel="0" collapsed="false">
      <c r="A13" s="11" t="s">
        <v>60</v>
      </c>
      <c r="B13" s="13" t="s">
        <v>61</v>
      </c>
      <c r="C13" s="10" t="s">
        <v>62</v>
      </c>
      <c r="D13" s="20" t="n">
        <v>0.1</v>
      </c>
      <c r="E13" s="20" t="n">
        <v>0.22</v>
      </c>
      <c r="F13" s="20" t="n">
        <v>0.32</v>
      </c>
      <c r="G13" s="21" t="n">
        <f aca="false">CHOOSE(p_sc,D13,E13,F13)</f>
        <v>0.22</v>
      </c>
      <c r="H13" s="16" t="s">
        <v>63</v>
      </c>
    </row>
    <row r="14" customFormat="false" ht="15" hidden="false" customHeight="true" outlineLevel="0" collapsed="false">
      <c r="A14" s="11" t="s">
        <v>64</v>
      </c>
      <c r="B14" s="13" t="s">
        <v>65</v>
      </c>
      <c r="C14" s="10" t="s">
        <v>62</v>
      </c>
      <c r="D14" s="20" t="n">
        <v>0.15</v>
      </c>
      <c r="E14" s="20" t="n">
        <v>0.3</v>
      </c>
      <c r="F14" s="20" t="n">
        <v>0.45</v>
      </c>
      <c r="G14" s="21" t="n">
        <f aca="false">CHOOSE(p_sc,D14,E14,F14)</f>
        <v>0.3</v>
      </c>
      <c r="H14" s="16" t="s">
        <v>66</v>
      </c>
    </row>
    <row r="15" customFormat="false" ht="15" hidden="false" customHeight="true" outlineLevel="0" collapsed="false">
      <c r="A15" s="11" t="s">
        <v>67</v>
      </c>
      <c r="B15" s="13" t="s">
        <v>68</v>
      </c>
      <c r="C15" s="10" t="s">
        <v>62</v>
      </c>
      <c r="D15" s="22" t="n">
        <v>0.55</v>
      </c>
      <c r="E15" s="22" t="n">
        <v>0.75</v>
      </c>
      <c r="F15" s="22" t="n">
        <v>0.9</v>
      </c>
      <c r="G15" s="21" t="n">
        <f aca="false">CHOOSE(p_sc,D15,E15,F15)</f>
        <v>0.75</v>
      </c>
      <c r="H15" s="16" t="s">
        <v>69</v>
      </c>
    </row>
    <row r="16" customFormat="false" ht="15" hidden="false" customHeight="true" outlineLevel="0" collapsed="false">
      <c r="A16" s="11" t="s">
        <v>70</v>
      </c>
      <c r="B16" s="13" t="s">
        <v>71</v>
      </c>
      <c r="C16" s="10" t="s">
        <v>62</v>
      </c>
      <c r="D16" s="22" t="n">
        <v>0.3</v>
      </c>
      <c r="E16" s="22" t="n">
        <v>0.5</v>
      </c>
      <c r="F16" s="22" t="n">
        <v>0.7</v>
      </c>
      <c r="G16" s="21" t="n">
        <f aca="false">CHOOSE(p_sc,D16,E16,F16)</f>
        <v>0.5</v>
      </c>
      <c r="H16" s="16" t="s">
        <v>72</v>
      </c>
    </row>
    <row r="17" customFormat="false" ht="15" hidden="false" customHeight="true" outlineLevel="0" collapsed="false">
      <c r="A17" s="11" t="s">
        <v>73</v>
      </c>
      <c r="B17" s="13" t="s">
        <v>74</v>
      </c>
      <c r="C17" s="10" t="s">
        <v>58</v>
      </c>
      <c r="D17" s="23" t="n">
        <v>0.8</v>
      </c>
      <c r="E17" s="23" t="n">
        <v>0.9</v>
      </c>
      <c r="F17" s="23" t="n">
        <v>0.95</v>
      </c>
      <c r="G17" s="19" t="n">
        <f aca="false">CHOOSE(p_sc,D17,E17,F17)</f>
        <v>0.9</v>
      </c>
      <c r="H17" s="16" t="s">
        <v>75</v>
      </c>
    </row>
    <row r="18" customFormat="false" ht="15" hidden="false" customHeight="true" outlineLevel="0" collapsed="false">
      <c r="A18" s="11" t="s">
        <v>76</v>
      </c>
      <c r="B18" s="13" t="s">
        <v>77</v>
      </c>
      <c r="C18" s="10" t="s">
        <v>58</v>
      </c>
      <c r="D18" s="23" t="n">
        <v>0.9</v>
      </c>
      <c r="E18" s="23" t="n">
        <v>0.95</v>
      </c>
      <c r="F18" s="23" t="n">
        <v>1</v>
      </c>
      <c r="G18" s="19" t="n">
        <f aca="false">CHOOSE(p_sc,D18,E18,F18)</f>
        <v>0.95</v>
      </c>
      <c r="H18" s="16" t="s">
        <v>78</v>
      </c>
    </row>
    <row r="19" customFormat="false" ht="15" hidden="false" customHeight="true" outlineLevel="0" collapsed="false">
      <c r="A19" s="11" t="s">
        <v>79</v>
      </c>
      <c r="B19" s="13" t="s">
        <v>80</v>
      </c>
      <c r="C19" s="10" t="s">
        <v>62</v>
      </c>
      <c r="D19" s="22" t="n">
        <v>0.06</v>
      </c>
      <c r="E19" s="22" t="n">
        <v>0.03</v>
      </c>
      <c r="F19" s="22" t="n">
        <v>0</v>
      </c>
      <c r="G19" s="21" t="n">
        <f aca="false">CHOOSE(p_sc,D19,E19,F19)</f>
        <v>0.03</v>
      </c>
      <c r="H19" s="16" t="s">
        <v>81</v>
      </c>
    </row>
    <row r="20" customFormat="false" ht="15" hidden="false" customHeight="true" outlineLevel="0" collapsed="false">
      <c r="A20" s="11" t="s">
        <v>82</v>
      </c>
      <c r="B20" s="13" t="s">
        <v>83</v>
      </c>
      <c r="C20" s="10" t="s">
        <v>62</v>
      </c>
      <c r="D20" s="22" t="n">
        <v>0.35</v>
      </c>
      <c r="E20" s="22" t="n">
        <v>0.35</v>
      </c>
      <c r="F20" s="22" t="n">
        <v>0.35</v>
      </c>
      <c r="G20" s="21" t="n">
        <f aca="false">CHOOSE(p_sc,D20,E20,F20)</f>
        <v>0.35</v>
      </c>
      <c r="H20" s="16" t="s">
        <v>84</v>
      </c>
    </row>
    <row r="21" customFormat="false" ht="15" hidden="false" customHeight="true" outlineLevel="0" collapsed="false">
      <c r="A21" s="11" t="s">
        <v>85</v>
      </c>
      <c r="B21" s="13" t="s">
        <v>86</v>
      </c>
      <c r="C21" s="10" t="s">
        <v>62</v>
      </c>
      <c r="D21" s="22" t="n">
        <v>0.2</v>
      </c>
      <c r="E21" s="22" t="n">
        <v>0.2</v>
      </c>
      <c r="F21" s="22" t="n">
        <v>0.2</v>
      </c>
      <c r="G21" s="21" t="n">
        <f aca="false">CHOOSE(p_sc,D21,E21,F21)</f>
        <v>0.2</v>
      </c>
      <c r="H21" s="16" t="s">
        <v>84</v>
      </c>
    </row>
    <row r="22" customFormat="false" ht="15" hidden="false" customHeight="true" outlineLevel="0" collapsed="false">
      <c r="A22" s="11" t="s">
        <v>87</v>
      </c>
      <c r="B22" s="13" t="s">
        <v>88</v>
      </c>
      <c r="C22" s="10" t="s">
        <v>58</v>
      </c>
      <c r="D22" s="18" t="n">
        <v>1.8</v>
      </c>
      <c r="E22" s="18" t="n">
        <v>1.25</v>
      </c>
      <c r="F22" s="18" t="n">
        <v>1</v>
      </c>
      <c r="G22" s="19" t="n">
        <f aca="false">CHOOSE(p_sc,D22,E22,F22)</f>
        <v>1.25</v>
      </c>
      <c r="H22" s="16" t="s">
        <v>89</v>
      </c>
    </row>
    <row r="23" customFormat="false" ht="15" hidden="false" customHeight="true" outlineLevel="0" collapsed="false">
      <c r="A23" s="11" t="s">
        <v>90</v>
      </c>
      <c r="B23" s="13" t="s">
        <v>91</v>
      </c>
      <c r="C23" s="10" t="s">
        <v>62</v>
      </c>
      <c r="D23" s="22" t="n">
        <v>0.1</v>
      </c>
      <c r="E23" s="22" t="n">
        <v>0.05</v>
      </c>
      <c r="F23" s="22" t="n">
        <v>0.03</v>
      </c>
      <c r="G23" s="21" t="n">
        <f aca="false">CHOOSE(p_sc,D23,E23,F23)</f>
        <v>0.05</v>
      </c>
      <c r="H23" s="16" t="s">
        <v>92</v>
      </c>
    </row>
    <row r="24" customFormat="false" ht="15" hidden="false" customHeight="true" outlineLevel="0" collapsed="false">
      <c r="A24" s="11" t="s">
        <v>93</v>
      </c>
      <c r="B24" s="13" t="s">
        <v>94</v>
      </c>
      <c r="C24" s="10" t="s">
        <v>58</v>
      </c>
      <c r="D24" s="23" t="n">
        <v>1.5</v>
      </c>
      <c r="E24" s="23" t="n">
        <v>1</v>
      </c>
      <c r="F24" s="23" t="n">
        <v>0.8</v>
      </c>
      <c r="G24" s="19" t="n">
        <f aca="false">CHOOSE(p_sc,D24,E24,F24)</f>
        <v>1</v>
      </c>
      <c r="H24" s="16" t="s">
        <v>95</v>
      </c>
    </row>
    <row r="25" customFormat="false" ht="15" hidden="false" customHeight="true" outlineLevel="0" collapsed="false">
      <c r="A25" s="11" t="s">
        <v>96</v>
      </c>
      <c r="B25" s="13" t="s">
        <v>97</v>
      </c>
      <c r="C25" s="10" t="s">
        <v>62</v>
      </c>
      <c r="D25" s="22" t="n">
        <v>0.06</v>
      </c>
      <c r="E25" s="22" t="n">
        <v>0.04</v>
      </c>
      <c r="F25" s="22" t="n">
        <v>0.03</v>
      </c>
      <c r="G25" s="21" t="n">
        <f aca="false">CHOOSE(p_sc,D25,E25,F25)</f>
        <v>0.04</v>
      </c>
      <c r="H25" s="16" t="s">
        <v>98</v>
      </c>
    </row>
    <row r="26" customFormat="false" ht="15" hidden="false" customHeight="true" outlineLevel="0" collapsed="false">
      <c r="A26" s="11" t="s">
        <v>99</v>
      </c>
      <c r="B26" s="13" t="s">
        <v>100</v>
      </c>
      <c r="C26" s="10" t="s">
        <v>62</v>
      </c>
      <c r="D26" s="22" t="n">
        <v>0.02</v>
      </c>
      <c r="E26" s="22" t="n">
        <v>0.005</v>
      </c>
      <c r="F26" s="22" t="n">
        <v>0</v>
      </c>
      <c r="G26" s="21" t="n">
        <f aca="false">CHOOSE(p_sc,D26,E26,F26)</f>
        <v>0.005</v>
      </c>
      <c r="H26" s="16" t="s">
        <v>101</v>
      </c>
    </row>
    <row r="27" customFormat="false" ht="15" hidden="false" customHeight="true" outlineLevel="0" collapsed="false">
      <c r="A27" s="11" t="s">
        <v>102</v>
      </c>
      <c r="B27" s="13" t="s">
        <v>103</v>
      </c>
      <c r="C27" s="10" t="s">
        <v>62</v>
      </c>
      <c r="D27" s="22" t="n">
        <v>0.08</v>
      </c>
      <c r="E27" s="22" t="n">
        <v>0.03</v>
      </c>
      <c r="F27" s="22" t="n">
        <v>0.015</v>
      </c>
      <c r="G27" s="21" t="n">
        <f aca="false">CHOOSE(p_sc,D27,E27,F27)</f>
        <v>0.03</v>
      </c>
      <c r="H27" s="16" t="s">
        <v>104</v>
      </c>
    </row>
    <row r="28" customFormat="false" ht="15" hidden="false" customHeight="true" outlineLevel="0" collapsed="false">
      <c r="A28" s="11" t="s">
        <v>105</v>
      </c>
      <c r="B28" s="13" t="s">
        <v>106</v>
      </c>
      <c r="C28" s="10" t="s">
        <v>62</v>
      </c>
      <c r="D28" s="22" t="n">
        <v>0.02</v>
      </c>
      <c r="E28" s="22" t="n">
        <v>0.005</v>
      </c>
      <c r="F28" s="22" t="n">
        <v>0</v>
      </c>
      <c r="G28" s="21" t="n">
        <f aca="false">CHOOSE(p_sc,D28,E28,F28)</f>
        <v>0.005</v>
      </c>
      <c r="H28" s="16" t="s">
        <v>107</v>
      </c>
    </row>
    <row r="29" customFormat="false" ht="15" hidden="false" customHeight="true" outlineLevel="0" collapsed="false">
      <c r="A29" s="11" t="s">
        <v>108</v>
      </c>
      <c r="B29" s="13" t="s">
        <v>109</v>
      </c>
      <c r="C29" s="10" t="s">
        <v>44</v>
      </c>
      <c r="D29" s="14" t="n">
        <v>240</v>
      </c>
      <c r="E29" s="14" t="n">
        <v>150</v>
      </c>
      <c r="F29" s="14" t="n">
        <v>105</v>
      </c>
      <c r="G29" s="15" t="n">
        <f aca="false">CHOOSE(p_sc,D29,E29,F29)</f>
        <v>150</v>
      </c>
      <c r="H29" s="16" t="s">
        <v>110</v>
      </c>
    </row>
    <row r="30" customFormat="false" ht="15" hidden="false" customHeight="true" outlineLevel="0" collapsed="false">
      <c r="A30" s="11" t="s">
        <v>111</v>
      </c>
      <c r="B30" s="13" t="s">
        <v>112</v>
      </c>
      <c r="C30" s="10" t="s">
        <v>48</v>
      </c>
      <c r="D30" s="17" t="n">
        <v>4</v>
      </c>
      <c r="E30" s="17" t="n">
        <v>3</v>
      </c>
      <c r="F30" s="17" t="n">
        <v>2</v>
      </c>
      <c r="G30" s="15" t="n">
        <f aca="false">CHOOSE(p_sc,D30,E30,F30)</f>
        <v>3</v>
      </c>
      <c r="H30" s="16" t="s">
        <v>113</v>
      </c>
    </row>
    <row r="31" customFormat="false" ht="15" hidden="false" customHeight="true" outlineLevel="0" collapsed="false">
      <c r="A31" s="11" t="s">
        <v>114</v>
      </c>
      <c r="B31" s="13" t="s">
        <v>115</v>
      </c>
      <c r="C31" s="10" t="s">
        <v>48</v>
      </c>
      <c r="D31" s="17" t="n">
        <v>2</v>
      </c>
      <c r="E31" s="17" t="n">
        <v>2</v>
      </c>
      <c r="F31" s="17" t="n">
        <v>1</v>
      </c>
      <c r="G31" s="15" t="n">
        <f aca="false">CHOOSE(p_sc,D31,E31,F31)</f>
        <v>2</v>
      </c>
      <c r="H31" s="16" t="s">
        <v>116</v>
      </c>
    </row>
    <row r="32" customFormat="false" ht="15" hidden="false" customHeight="true" outlineLevel="0" collapsed="false">
      <c r="A32" s="11" t="s">
        <v>117</v>
      </c>
      <c r="B32" s="13" t="s">
        <v>118</v>
      </c>
      <c r="C32" s="10" t="s">
        <v>62</v>
      </c>
      <c r="D32" s="20" t="n">
        <v>1</v>
      </c>
      <c r="E32" s="20" t="n">
        <v>0.3</v>
      </c>
      <c r="F32" s="20" t="n">
        <v>0</v>
      </c>
      <c r="G32" s="21" t="n">
        <f aca="false">CHOOSE(p_sc,D32,E32,F32)</f>
        <v>0.3</v>
      </c>
      <c r="H32" s="16" t="s">
        <v>119</v>
      </c>
    </row>
    <row r="33" customFormat="false" ht="15" hidden="false" customHeight="true" outlineLevel="0" collapsed="false">
      <c r="A33" s="11" t="s">
        <v>120</v>
      </c>
      <c r="B33" s="13" t="s">
        <v>121</v>
      </c>
      <c r="C33" s="10" t="s">
        <v>44</v>
      </c>
      <c r="D33" s="14" t="n">
        <v>0</v>
      </c>
      <c r="E33" s="14" t="n">
        <v>0</v>
      </c>
      <c r="F33" s="14" t="n">
        <v>120</v>
      </c>
      <c r="G33" s="15" t="n">
        <f aca="false">CHOOSE(p_sc,D33,E33,F33)</f>
        <v>0</v>
      </c>
      <c r="H33" s="16" t="s">
        <v>122</v>
      </c>
    </row>
    <row r="34" customFormat="false" ht="15" hidden="false" customHeight="true" outlineLevel="0" collapsed="false">
      <c r="A34" s="11" t="s">
        <v>123</v>
      </c>
      <c r="B34" s="13" t="s">
        <v>124</v>
      </c>
      <c r="C34" s="10" t="s">
        <v>62</v>
      </c>
      <c r="D34" s="22" t="n">
        <v>0.3</v>
      </c>
      <c r="E34" s="22" t="n">
        <v>0.3</v>
      </c>
      <c r="F34" s="22" t="n">
        <v>0.3</v>
      </c>
      <c r="G34" s="21" t="n">
        <f aca="false">CHOOSE(p_sc,D34,E34,F34)</f>
        <v>0.3</v>
      </c>
      <c r="H34" s="16" t="s">
        <v>125</v>
      </c>
    </row>
    <row r="35" customFormat="false" ht="15" hidden="false" customHeight="true" outlineLevel="0" collapsed="false">
      <c r="A35" s="11" t="s">
        <v>126</v>
      </c>
      <c r="B35" s="13" t="s">
        <v>127</v>
      </c>
      <c r="C35" s="10" t="s">
        <v>62</v>
      </c>
      <c r="D35" s="22" t="n">
        <v>0.2</v>
      </c>
      <c r="E35" s="22" t="n">
        <v>0.2</v>
      </c>
      <c r="F35" s="22" t="n">
        <v>0.2</v>
      </c>
      <c r="G35" s="21" t="n">
        <f aca="false">CHOOSE(p_sc,D35,E35,F35)</f>
        <v>0.2</v>
      </c>
      <c r="H35" s="16" t="s">
        <v>128</v>
      </c>
    </row>
    <row r="36" customFormat="false" ht="15" hidden="false" customHeight="true" outlineLevel="0" collapsed="false">
      <c r="A36" s="11" t="s">
        <v>129</v>
      </c>
      <c r="B36" s="13" t="s">
        <v>130</v>
      </c>
      <c r="C36" s="10" t="s">
        <v>62</v>
      </c>
      <c r="D36" s="22" t="n">
        <v>1</v>
      </c>
      <c r="E36" s="22" t="n">
        <v>0.5</v>
      </c>
      <c r="F36" s="22" t="n">
        <v>0.25</v>
      </c>
      <c r="G36" s="21" t="n">
        <f aca="false">CHOOSE(p_sc,D36,E36,F36)</f>
        <v>0.5</v>
      </c>
      <c r="H36" s="16" t="s">
        <v>131</v>
      </c>
    </row>
    <row r="37" customFormat="false" ht="15" hidden="false" customHeight="true" outlineLevel="0" collapsed="false">
      <c r="A37" s="11" t="s">
        <v>132</v>
      </c>
      <c r="B37" s="13" t="s">
        <v>133</v>
      </c>
      <c r="C37" s="10" t="s">
        <v>62</v>
      </c>
      <c r="D37" s="22" t="n">
        <v>0.03</v>
      </c>
      <c r="E37" s="22" t="n">
        <v>0.016</v>
      </c>
      <c r="F37" s="22" t="n">
        <v>0.0107</v>
      </c>
      <c r="G37" s="21" t="n">
        <f aca="false">CHOOSE(p_sc,D37,E37,F37)</f>
        <v>0.016</v>
      </c>
      <c r="H37" s="16" t="s">
        <v>134</v>
      </c>
    </row>
    <row r="38" customFormat="false" ht="23.25" hidden="false" customHeight="true" outlineLevel="0" collapsed="false">
      <c r="A38" s="11" t="s">
        <v>135</v>
      </c>
      <c r="B38" s="13" t="s">
        <v>136</v>
      </c>
      <c r="C38" s="10" t="s">
        <v>62</v>
      </c>
      <c r="D38" s="22" t="n">
        <v>0.1</v>
      </c>
      <c r="E38" s="22" t="n">
        <v>0.1</v>
      </c>
      <c r="F38" s="22" t="n">
        <v>0.1</v>
      </c>
      <c r="G38" s="21" t="n">
        <f aca="false">CHOOSE(p_sc,D38,E38,F38)</f>
        <v>0.1</v>
      </c>
      <c r="H38" s="16" t="s">
        <v>137</v>
      </c>
    </row>
    <row r="39" customFormat="false" ht="23.25" hidden="false" customHeight="true" outlineLevel="0" collapsed="false">
      <c r="A39" s="11" t="s">
        <v>138</v>
      </c>
      <c r="B39" s="13" t="s">
        <v>139</v>
      </c>
      <c r="C39" s="10" t="s">
        <v>48</v>
      </c>
      <c r="D39" s="17" t="n">
        <v>4</v>
      </c>
      <c r="E39" s="17" t="n">
        <v>3</v>
      </c>
      <c r="F39" s="17" t="n">
        <v>2</v>
      </c>
      <c r="G39" s="15" t="n">
        <f aca="false">CHOOSE(p_sc,D39,E39,F39)</f>
        <v>3</v>
      </c>
      <c r="H39" s="16" t="s">
        <v>140</v>
      </c>
    </row>
    <row r="40" customFormat="false" ht="15" hidden="false" customHeight="true" outlineLevel="0" collapsed="false">
      <c r="A40" s="11" t="s">
        <v>141</v>
      </c>
      <c r="B40" s="13" t="s">
        <v>142</v>
      </c>
      <c r="C40" s="10" t="s">
        <v>48</v>
      </c>
      <c r="D40" s="17" t="n">
        <v>3</v>
      </c>
      <c r="E40" s="17" t="n">
        <v>3</v>
      </c>
      <c r="F40" s="17" t="n">
        <v>3</v>
      </c>
      <c r="G40" s="15" t="n">
        <f aca="false">CHOOSE(p_sc,D40,E40,F40)</f>
        <v>3</v>
      </c>
      <c r="H40" s="16" t="s">
        <v>143</v>
      </c>
    </row>
    <row r="41" customFormat="false" ht="15" hidden="false" customHeight="true" outlineLevel="0" collapsed="false">
      <c r="A41" s="11" t="s">
        <v>144</v>
      </c>
      <c r="B41" s="13" t="s">
        <v>145</v>
      </c>
      <c r="C41" s="10" t="s">
        <v>146</v>
      </c>
      <c r="D41" s="17" t="n">
        <v>570</v>
      </c>
      <c r="E41" s="17" t="n">
        <v>570</v>
      </c>
      <c r="F41" s="17" t="n">
        <v>570</v>
      </c>
      <c r="G41" s="15" t="n">
        <f aca="false">CHOOSE(p_sc,D41,E41,F41)</f>
        <v>570</v>
      </c>
      <c r="H41" s="16" t="s">
        <v>147</v>
      </c>
    </row>
    <row r="42" customFormat="false" ht="15" hidden="false" customHeight="true" outlineLevel="0" collapsed="false">
      <c r="A42" s="11" t="s">
        <v>148</v>
      </c>
      <c r="B42" s="13" t="s">
        <v>149</v>
      </c>
      <c r="C42" s="10" t="s">
        <v>146</v>
      </c>
      <c r="D42" s="17" t="n">
        <v>1500</v>
      </c>
      <c r="E42" s="17" t="n">
        <v>600</v>
      </c>
      <c r="F42" s="17" t="n">
        <v>300</v>
      </c>
      <c r="G42" s="15" t="n">
        <f aca="false">IF(p_sl=1,1500,CHOOSE(p_sc,D42,E42,F42))</f>
        <v>600</v>
      </c>
      <c r="H42" s="16" t="s">
        <v>150</v>
      </c>
    </row>
    <row r="43" customFormat="false" ht="15" hidden="false" customHeight="true" outlineLevel="0" collapsed="false">
      <c r="A43" s="11" t="s">
        <v>151</v>
      </c>
      <c r="B43" s="13" t="s">
        <v>152</v>
      </c>
      <c r="C43" s="10" t="s">
        <v>146</v>
      </c>
      <c r="D43" s="17" t="n">
        <v>1350</v>
      </c>
      <c r="E43" s="17" t="n">
        <v>800</v>
      </c>
      <c r="F43" s="17" t="n">
        <v>500</v>
      </c>
      <c r="G43" s="15" t="n">
        <f aca="false">IF(p_sl=1,1350,CHOOSE(p_sc,D43,E43,F43))</f>
        <v>800</v>
      </c>
      <c r="H43" s="16" t="s">
        <v>153</v>
      </c>
    </row>
    <row r="44" customFormat="false" ht="15" hidden="false" customHeight="true" outlineLevel="0" collapsed="false">
      <c r="A44" s="11" t="s">
        <v>154</v>
      </c>
      <c r="B44" s="13" t="s">
        <v>155</v>
      </c>
      <c r="C44" s="10" t="s">
        <v>146</v>
      </c>
      <c r="D44" s="17" t="n">
        <v>300</v>
      </c>
      <c r="E44" s="17" t="n">
        <v>150</v>
      </c>
      <c r="F44" s="17" t="n">
        <v>100</v>
      </c>
      <c r="G44" s="15" t="n">
        <f aca="false">CHOOSE(p_sc,D44,E44,F44)</f>
        <v>150</v>
      </c>
      <c r="H44" s="16" t="s">
        <v>156</v>
      </c>
    </row>
    <row r="45" customFormat="false" ht="15" hidden="false" customHeight="true" outlineLevel="0" collapsed="false">
      <c r="A45" s="11" t="s">
        <v>157</v>
      </c>
      <c r="B45" s="13" t="s">
        <v>158</v>
      </c>
      <c r="C45" s="10" t="s">
        <v>62</v>
      </c>
      <c r="D45" s="22" t="n">
        <v>0.7</v>
      </c>
      <c r="E45" s="22" t="n">
        <v>0.85</v>
      </c>
      <c r="F45" s="22" t="n">
        <v>0.95</v>
      </c>
      <c r="G45" s="21" t="n">
        <f aca="false">CHOOSE(p_sc,D45,E45,F45)</f>
        <v>0.85</v>
      </c>
      <c r="H45" s="16" t="s">
        <v>159</v>
      </c>
    </row>
    <row r="46" customFormat="false" ht="15" hidden="false" customHeight="true" outlineLevel="0" collapsed="false">
      <c r="A46" s="11" t="s">
        <v>160</v>
      </c>
      <c r="B46" s="13" t="s">
        <v>161</v>
      </c>
      <c r="C46" s="10" t="s">
        <v>146</v>
      </c>
      <c r="D46" s="17" t="n">
        <v>600</v>
      </c>
      <c r="E46" s="17" t="n">
        <v>240</v>
      </c>
      <c r="F46" s="17" t="n">
        <v>120</v>
      </c>
      <c r="G46" s="15" t="n">
        <f aca="false">CHOOSE(p_sc,D46,E46,F46)</f>
        <v>240</v>
      </c>
      <c r="H46" s="16" t="s">
        <v>162</v>
      </c>
    </row>
    <row r="47" customFormat="false" ht="23.25" hidden="false" customHeight="true" outlineLevel="0" collapsed="false">
      <c r="A47" s="11" t="s">
        <v>163</v>
      </c>
      <c r="B47" s="13" t="s">
        <v>164</v>
      </c>
      <c r="C47" s="10" t="s">
        <v>165</v>
      </c>
      <c r="D47" s="14" t="n">
        <v>0</v>
      </c>
      <c r="E47" s="14" t="n">
        <v>6</v>
      </c>
      <c r="F47" s="14" t="n">
        <v>12</v>
      </c>
      <c r="G47" s="15" t="n">
        <f aca="false">CHOOSE(p_sc,D47,E47,F47)</f>
        <v>6</v>
      </c>
      <c r="H47" s="16" t="s">
        <v>166</v>
      </c>
    </row>
    <row r="48" customFormat="false" ht="15" hidden="false" customHeight="true" outlineLevel="0" collapsed="false">
      <c r="A48" s="11" t="s">
        <v>167</v>
      </c>
      <c r="B48" s="13" t="s">
        <v>168</v>
      </c>
      <c r="C48" s="10" t="s">
        <v>40</v>
      </c>
      <c r="D48" s="17" t="n">
        <v>24</v>
      </c>
      <c r="E48" s="17" t="n">
        <v>18</v>
      </c>
      <c r="F48" s="17" t="n">
        <v>15</v>
      </c>
      <c r="G48" s="15" t="n">
        <f aca="false">CHOOSE(p_sc,D48,E48,F48)</f>
        <v>18</v>
      </c>
      <c r="H48" s="16" t="s">
        <v>169</v>
      </c>
    </row>
    <row r="49" customFormat="false" ht="15" hidden="false" customHeight="true" outlineLevel="0" collapsed="false">
      <c r="A49" s="11" t="s">
        <v>170</v>
      </c>
      <c r="B49" s="13" t="s">
        <v>171</v>
      </c>
      <c r="C49" s="10" t="s">
        <v>58</v>
      </c>
      <c r="D49" s="23" t="n">
        <v>0.5</v>
      </c>
      <c r="E49" s="23" t="n">
        <v>0.7</v>
      </c>
      <c r="F49" s="23" t="n">
        <v>1</v>
      </c>
      <c r="G49" s="19" t="n">
        <f aca="false">CHOOSE(p_sc,D49,E49,F49)</f>
        <v>0.7</v>
      </c>
      <c r="H49" s="16" t="s">
        <v>172</v>
      </c>
    </row>
    <row r="50" customFormat="false" ht="15" hidden="false" customHeight="true" outlineLevel="0" collapsed="false">
      <c r="A50" s="11" t="s">
        <v>173</v>
      </c>
      <c r="B50" s="13" t="s">
        <v>174</v>
      </c>
      <c r="C50" s="10" t="s">
        <v>62</v>
      </c>
      <c r="D50" s="22" t="n">
        <v>0</v>
      </c>
      <c r="E50" s="22" t="n">
        <v>0</v>
      </c>
      <c r="F50" s="22" t="n">
        <v>0</v>
      </c>
      <c r="G50" s="21" t="n">
        <f aca="false">CHOOSE(p_sc,D50,E50,F50)</f>
        <v>0</v>
      </c>
      <c r="H50" s="16" t="s">
        <v>175</v>
      </c>
    </row>
    <row r="51" customFormat="false" ht="15" hidden="false" customHeight="true" outlineLevel="0" collapsed="false">
      <c r="A51" s="11" t="s">
        <v>176</v>
      </c>
      <c r="B51" s="13" t="s">
        <v>177</v>
      </c>
      <c r="C51" s="10" t="s">
        <v>62</v>
      </c>
      <c r="D51" s="22" t="n">
        <v>0.015</v>
      </c>
      <c r="E51" s="22" t="n">
        <v>0.0125</v>
      </c>
      <c r="F51" s="22" t="n">
        <v>0.01</v>
      </c>
      <c r="G51" s="21" t="n">
        <f aca="false">CHOOSE(p_sc,D51,E51,F51)</f>
        <v>0.0125</v>
      </c>
      <c r="H51" s="16" t="s">
        <v>178</v>
      </c>
    </row>
    <row r="52" customFormat="false" ht="21.75" hidden="false" customHeight="true" outlineLevel="0" collapsed="false">
      <c r="A52" s="11" t="s">
        <v>179</v>
      </c>
      <c r="B52" s="13" t="s">
        <v>180</v>
      </c>
      <c r="C52" s="10" t="s">
        <v>40</v>
      </c>
      <c r="D52" s="17" t="n">
        <v>61</v>
      </c>
      <c r="E52" s="17" t="n">
        <v>61</v>
      </c>
      <c r="F52" s="17" t="n">
        <v>61</v>
      </c>
      <c r="G52" s="15" t="n">
        <f aca="false">CHOOSE(p_sc,D52,E52,F52)</f>
        <v>61</v>
      </c>
      <c r="H52" s="16" t="s">
        <v>181</v>
      </c>
    </row>
    <row r="53" customFormat="false" ht="15" hidden="false" customHeight="true" outlineLevel="0" collapsed="false">
      <c r="A53" s="11" t="s">
        <v>182</v>
      </c>
      <c r="B53" s="13" t="s">
        <v>183</v>
      </c>
      <c r="C53" s="10" t="s">
        <v>62</v>
      </c>
      <c r="D53" s="22" t="n">
        <v>0.5</v>
      </c>
      <c r="E53" s="22" t="n">
        <v>0.5</v>
      </c>
      <c r="F53" s="22" t="n">
        <v>0.5</v>
      </c>
      <c r="G53" s="21" t="n">
        <f aca="false">CHOOSE(p_sc,D53,E53,F53)</f>
        <v>0.5</v>
      </c>
      <c r="H53" s="16" t="s">
        <v>184</v>
      </c>
    </row>
    <row r="54" customFormat="false" ht="15" hidden="false" customHeight="true" outlineLevel="0" collapsed="false">
      <c r="A54" s="11" t="s">
        <v>185</v>
      </c>
      <c r="B54" s="13" t="s">
        <v>186</v>
      </c>
      <c r="C54" s="10" t="s">
        <v>62</v>
      </c>
      <c r="D54" s="22" t="n">
        <v>0.25</v>
      </c>
      <c r="E54" s="22" t="n">
        <v>0.25</v>
      </c>
      <c r="F54" s="22" t="n">
        <v>0.25</v>
      </c>
      <c r="G54" s="21" t="n">
        <f aca="false">CHOOSE(p_sc,D54,E54,F54)</f>
        <v>0.25</v>
      </c>
      <c r="H54" s="16" t="s">
        <v>187</v>
      </c>
    </row>
    <row r="55" customFormat="false" ht="15" hidden="false" customHeight="true" outlineLevel="0" collapsed="false">
      <c r="A55" s="11" t="s">
        <v>188</v>
      </c>
      <c r="B55" s="13" t="s">
        <v>189</v>
      </c>
      <c r="C55" s="10" t="s">
        <v>62</v>
      </c>
      <c r="D55" s="22" t="n">
        <v>0.1</v>
      </c>
      <c r="E55" s="22" t="n">
        <v>0.1</v>
      </c>
      <c r="F55" s="22" t="n">
        <v>0.1</v>
      </c>
      <c r="G55" s="21" t="n">
        <f aca="false">CHOOSE(p_sc,D55,E55,F55)</f>
        <v>0.1</v>
      </c>
      <c r="H55" s="16" t="s">
        <v>190</v>
      </c>
    </row>
    <row r="56" customFormat="false" ht="23.25" hidden="false" customHeight="true" outlineLevel="0" collapsed="false">
      <c r="A56" s="11" t="s">
        <v>191</v>
      </c>
      <c r="B56" s="13" t="s">
        <v>192</v>
      </c>
      <c r="C56" s="10" t="s">
        <v>62</v>
      </c>
      <c r="D56" s="22" t="n">
        <v>0.02</v>
      </c>
      <c r="E56" s="22" t="n">
        <v>0.02</v>
      </c>
      <c r="F56" s="22" t="n">
        <v>0.02</v>
      </c>
      <c r="G56" s="21" t="n">
        <f aca="false">CHOOSE(p_sc,D56,E56,F56)</f>
        <v>0.02</v>
      </c>
      <c r="H56" s="16" t="s">
        <v>193</v>
      </c>
    </row>
    <row r="57" customFormat="false" ht="32.25" hidden="false" customHeight="true" outlineLevel="0" collapsed="false">
      <c r="A57" s="11" t="s">
        <v>194</v>
      </c>
      <c r="B57" s="13" t="s">
        <v>195</v>
      </c>
      <c r="C57" s="10" t="s">
        <v>62</v>
      </c>
      <c r="D57" s="22" t="n">
        <v>0.28</v>
      </c>
      <c r="E57" s="22" t="n">
        <v>0.28</v>
      </c>
      <c r="F57" s="22" t="n">
        <v>0.28</v>
      </c>
      <c r="G57" s="21" t="n">
        <f aca="false">CHOOSE(p_sc,D57,E57,F57)</f>
        <v>0.28</v>
      </c>
      <c r="H57" s="16" t="s">
        <v>196</v>
      </c>
    </row>
    <row r="58" customFormat="false" ht="21.75" hidden="false" customHeight="true" outlineLevel="0" collapsed="false">
      <c r="A58" s="11" t="s">
        <v>197</v>
      </c>
      <c r="B58" s="13" t="s">
        <v>198</v>
      </c>
      <c r="C58" s="10" t="s">
        <v>62</v>
      </c>
      <c r="D58" s="22" t="n">
        <v>0.07</v>
      </c>
      <c r="E58" s="22" t="n">
        <v>0.07</v>
      </c>
      <c r="F58" s="22" t="n">
        <v>0</v>
      </c>
      <c r="G58" s="21" t="n">
        <f aca="false">CHOOSE(p_sc,D58,E58,F58)</f>
        <v>0.07</v>
      </c>
      <c r="H58" s="16" t="s">
        <v>199</v>
      </c>
    </row>
    <row r="59" customFormat="false" ht="15" hidden="false" customHeight="true" outlineLevel="0" collapsed="false">
      <c r="A59" s="11" t="s">
        <v>200</v>
      </c>
      <c r="B59" s="13" t="s">
        <v>201</v>
      </c>
      <c r="C59" s="10" t="s">
        <v>62</v>
      </c>
      <c r="D59" s="22" t="n">
        <v>0.8</v>
      </c>
      <c r="E59" s="22" t="n">
        <v>0.8</v>
      </c>
      <c r="F59" s="22" t="n">
        <v>0.8</v>
      </c>
      <c r="G59" s="21" t="n">
        <f aca="false">CHOOSE(p_sc,D59,E59,F59)</f>
        <v>0.8</v>
      </c>
      <c r="H59" s="16" t="s">
        <v>202</v>
      </c>
    </row>
    <row r="60" customFormat="false" ht="15" hidden="false" customHeight="true" outlineLevel="0" collapsed="false">
      <c r="A60" s="11" t="s">
        <v>203</v>
      </c>
      <c r="B60" s="13" t="s">
        <v>204</v>
      </c>
      <c r="C60" s="10" t="s">
        <v>62</v>
      </c>
      <c r="D60" s="22" t="n">
        <v>0.3</v>
      </c>
      <c r="E60" s="22" t="n">
        <v>0.3</v>
      </c>
      <c r="F60" s="22" t="n">
        <v>0.3</v>
      </c>
      <c r="G60" s="21" t="n">
        <f aca="false">CHOOSE(p_sc,D60,E60,F60)</f>
        <v>0.3</v>
      </c>
      <c r="H60" s="16" t="s">
        <v>205</v>
      </c>
    </row>
    <row r="61" customFormat="false" ht="15" hidden="false" customHeight="true" outlineLevel="0" collapsed="false">
      <c r="A61" s="11" t="s">
        <v>206</v>
      </c>
      <c r="B61" s="13" t="s">
        <v>207</v>
      </c>
      <c r="C61" s="10" t="s">
        <v>62</v>
      </c>
      <c r="D61" s="22" t="n">
        <v>0.8</v>
      </c>
      <c r="E61" s="22" t="n">
        <v>0.9</v>
      </c>
      <c r="F61" s="22" t="n">
        <v>0.95</v>
      </c>
      <c r="G61" s="21" t="n">
        <f aca="false">CHOOSE(p_sc,D61,E61,F61)</f>
        <v>0.9</v>
      </c>
      <c r="H61" s="16" t="s">
        <v>156</v>
      </c>
    </row>
    <row r="62" customFormat="false" ht="15" hidden="false" customHeight="true" outlineLevel="0" collapsed="false">
      <c r="A62" s="11" t="s">
        <v>208</v>
      </c>
      <c r="B62" s="13" t="s">
        <v>209</v>
      </c>
      <c r="C62" s="10" t="s">
        <v>58</v>
      </c>
      <c r="D62" s="23" t="n">
        <v>0</v>
      </c>
      <c r="E62" s="23" t="n">
        <v>3</v>
      </c>
      <c r="F62" s="23" t="n">
        <v>4</v>
      </c>
      <c r="G62" s="19" t="n">
        <f aca="false">CHOOSE(p_sc,D62,E62,F62)</f>
        <v>3</v>
      </c>
      <c r="H62" s="16" t="s">
        <v>210</v>
      </c>
    </row>
    <row r="63" customFormat="false" ht="15" hidden="false" customHeight="true" outlineLevel="0" collapsed="false">
      <c r="A63" s="11" t="s">
        <v>211</v>
      </c>
      <c r="B63" s="13" t="s">
        <v>212</v>
      </c>
      <c r="C63" s="10" t="s">
        <v>62</v>
      </c>
      <c r="D63" s="22" t="n">
        <v>0.5</v>
      </c>
      <c r="E63" s="22" t="n">
        <v>0.5</v>
      </c>
      <c r="F63" s="22" t="n">
        <v>0.5</v>
      </c>
      <c r="G63" s="21" t="n">
        <f aca="false">CHOOSE(p_sc,D63,E63,F63)</f>
        <v>0.5</v>
      </c>
      <c r="H63" s="16" t="s">
        <v>213</v>
      </c>
    </row>
    <row r="64" customFormat="false" ht="15" hidden="false" customHeight="true" outlineLevel="0" collapsed="false">
      <c r="A64" s="11" t="s">
        <v>214</v>
      </c>
      <c r="B64" s="13" t="s">
        <v>215</v>
      </c>
      <c r="C64" s="10" t="s">
        <v>62</v>
      </c>
      <c r="D64" s="22" t="n">
        <v>0.5</v>
      </c>
      <c r="E64" s="22" t="n">
        <v>0.5</v>
      </c>
      <c r="F64" s="22" t="n">
        <v>0.5</v>
      </c>
      <c r="G64" s="21" t="n">
        <f aca="false">CHOOSE(p_sc,D64,E64,F64)</f>
        <v>0.5</v>
      </c>
      <c r="H64" s="16" t="s">
        <v>216</v>
      </c>
    </row>
    <row r="65" customFormat="false" ht="15" hidden="false" customHeight="true" outlineLevel="0" collapsed="false">
      <c r="A65" s="11" t="s">
        <v>217</v>
      </c>
      <c r="B65" s="13" t="s">
        <v>218</v>
      </c>
      <c r="C65" s="10" t="s">
        <v>62</v>
      </c>
      <c r="D65" s="22" t="n">
        <v>0.333333333333333</v>
      </c>
      <c r="E65" s="22" t="n">
        <v>0.333333333333333</v>
      </c>
      <c r="F65" s="22" t="n">
        <v>0.333333333333333</v>
      </c>
      <c r="G65" s="21" t="n">
        <f aca="false">CHOOSE(p_sc,D65,E65,F65)</f>
        <v>0.333333333333333</v>
      </c>
      <c r="H65" s="16" t="s">
        <v>219</v>
      </c>
    </row>
    <row r="66" customFormat="false" ht="15" hidden="false" customHeight="true" outlineLevel="0" collapsed="false">
      <c r="A66" s="11" t="s">
        <v>220</v>
      </c>
      <c r="B66" s="13" t="s">
        <v>221</v>
      </c>
      <c r="C66" s="10" t="s">
        <v>62</v>
      </c>
      <c r="D66" s="22" t="n">
        <v>0.25</v>
      </c>
      <c r="E66" s="22" t="n">
        <v>0.15</v>
      </c>
      <c r="F66" s="22" t="n">
        <v>0.05</v>
      </c>
      <c r="G66" s="21" t="n">
        <f aca="false">CHOOSE(p_sc,D66,E66,F66)</f>
        <v>0.15</v>
      </c>
      <c r="H66" s="16" t="s">
        <v>222</v>
      </c>
    </row>
    <row r="68" customFormat="false" ht="15" hidden="false" customHeight="true" outlineLevel="0" collapsed="false">
      <c r="A68" s="24" t="s">
        <v>223</v>
      </c>
    </row>
    <row r="69" customFormat="false" ht="34.5" hidden="false" customHeight="true" outlineLevel="0" collapsed="false">
      <c r="A69" s="12" t="s">
        <v>224</v>
      </c>
      <c r="B69" s="12" t="s">
        <v>225</v>
      </c>
      <c r="C69" s="12" t="s">
        <v>226</v>
      </c>
      <c r="D69" s="12" t="s">
        <v>33</v>
      </c>
      <c r="E69" s="12" t="s">
        <v>34</v>
      </c>
      <c r="F69" s="12" t="s">
        <v>35</v>
      </c>
      <c r="G69" s="12" t="s">
        <v>227</v>
      </c>
      <c r="H69" s="12" t="s">
        <v>37</v>
      </c>
      <c r="I69" s="12" t="s">
        <v>228</v>
      </c>
      <c r="J69" s="12" t="s">
        <v>229</v>
      </c>
    </row>
    <row r="70" customFormat="false" ht="15" hidden="false" customHeight="true" outlineLevel="0" collapsed="false">
      <c r="A70" s="11" t="n">
        <v>1</v>
      </c>
      <c r="B70" s="13" t="s">
        <v>230</v>
      </c>
      <c r="C70" s="10" t="s">
        <v>231</v>
      </c>
      <c r="D70" s="17" t="n">
        <v>1200</v>
      </c>
      <c r="E70" s="17" t="n">
        <v>700</v>
      </c>
      <c r="F70" s="17" t="n">
        <v>450</v>
      </c>
      <c r="G70" s="15" t="n">
        <f aca="false">CHOOSE(p_sc,D70,E70,F70)*(1+p_oncost)</f>
        <v>896</v>
      </c>
      <c r="H70" s="16" t="s">
        <v>232</v>
      </c>
      <c r="I70" s="15" t="n">
        <f aca="false">c_lic_m</f>
        <v>3</v>
      </c>
      <c r="J70" s="11" t="s">
        <v>233</v>
      </c>
    </row>
    <row r="71" customFormat="false" ht="15" hidden="false" customHeight="true" outlineLevel="0" collapsed="false">
      <c r="A71" s="11" t="n">
        <v>2</v>
      </c>
      <c r="B71" s="13" t="s">
        <v>234</v>
      </c>
      <c r="C71" s="10" t="s">
        <v>231</v>
      </c>
      <c r="D71" s="17" t="n">
        <v>1200</v>
      </c>
      <c r="E71" s="17" t="n">
        <v>600</v>
      </c>
      <c r="F71" s="17" t="n">
        <v>300</v>
      </c>
      <c r="G71" s="15" t="n">
        <f aca="false">CHOOSE(p_sc,D71,E71,F71)*(1+p_itbms_srv)</f>
        <v>642</v>
      </c>
      <c r="H71" s="16" t="s">
        <v>235</v>
      </c>
      <c r="I71" s="15" t="n">
        <f aca="false">c_lic_m</f>
        <v>3</v>
      </c>
      <c r="J71" s="11" t="s">
        <v>236</v>
      </c>
    </row>
    <row r="72" customFormat="false" ht="15" hidden="false" customHeight="true" outlineLevel="0" collapsed="false">
      <c r="A72" s="11" t="n">
        <v>3</v>
      </c>
      <c r="B72" s="13" t="s">
        <v>237</v>
      </c>
      <c r="C72" s="10" t="s">
        <v>238</v>
      </c>
      <c r="D72" s="17" t="n">
        <v>450</v>
      </c>
      <c r="E72" s="17" t="n">
        <v>300</v>
      </c>
      <c r="F72" s="17" t="n">
        <v>200</v>
      </c>
      <c r="G72" s="15" t="n">
        <f aca="false">CHOOSE(p_sc,D72,E72,F72)*(1+p_itbms_srv)</f>
        <v>321</v>
      </c>
      <c r="H72" s="16" t="s">
        <v>156</v>
      </c>
      <c r="I72" s="15" t="n">
        <f aca="false">1</f>
        <v>1</v>
      </c>
      <c r="J72" s="11" t="s">
        <v>236</v>
      </c>
    </row>
    <row r="73" customFormat="false" ht="15" hidden="false" customHeight="true" outlineLevel="0" collapsed="false">
      <c r="A73" s="11" t="n">
        <v>4</v>
      </c>
      <c r="B73" s="13" t="s">
        <v>239</v>
      </c>
      <c r="C73" s="10" t="s">
        <v>238</v>
      </c>
      <c r="D73" s="17" t="n">
        <v>400</v>
      </c>
      <c r="E73" s="17" t="n">
        <v>250</v>
      </c>
      <c r="F73" s="17" t="n">
        <v>150</v>
      </c>
      <c r="G73" s="15" t="n">
        <f aca="false">CHOOSE(p_sc,D73,E73,F73)*(1+p_itbms_srv)</f>
        <v>267.5</v>
      </c>
      <c r="H73" s="16" t="s">
        <v>240</v>
      </c>
      <c r="I73" s="15" t="n">
        <f aca="false">1</f>
        <v>1</v>
      </c>
      <c r="J73" s="11" t="s">
        <v>236</v>
      </c>
    </row>
    <row r="74" customFormat="false" ht="15" hidden="false" customHeight="true" outlineLevel="0" collapsed="false">
      <c r="A74" s="11" t="n">
        <v>5</v>
      </c>
      <c r="B74" s="13" t="s">
        <v>241</v>
      </c>
      <c r="C74" s="10" t="s">
        <v>238</v>
      </c>
      <c r="D74" s="17" t="n">
        <v>800</v>
      </c>
      <c r="E74" s="17" t="n">
        <v>300</v>
      </c>
      <c r="F74" s="17" t="n">
        <v>150</v>
      </c>
      <c r="G74" s="15" t="n">
        <f aca="false">CHOOSE(p_sc,D74,E74,F74)*(1+p_itbms_srv)</f>
        <v>321</v>
      </c>
      <c r="H74" s="16" t="s">
        <v>242</v>
      </c>
      <c r="I74" s="15" t="n">
        <f aca="false">1</f>
        <v>1</v>
      </c>
      <c r="J74" s="11" t="s">
        <v>236</v>
      </c>
    </row>
    <row r="75" customFormat="false" ht="15" hidden="false" customHeight="true" outlineLevel="0" collapsed="false">
      <c r="A75" s="11" t="n">
        <v>6</v>
      </c>
      <c r="B75" s="13" t="s">
        <v>243</v>
      </c>
      <c r="C75" s="10" t="s">
        <v>244</v>
      </c>
      <c r="D75" s="17" t="n">
        <v>2500</v>
      </c>
      <c r="E75" s="17" t="n">
        <v>1500</v>
      </c>
      <c r="F75" s="17" t="n">
        <v>800</v>
      </c>
      <c r="G75" s="15" t="n">
        <f aca="false">CHOOSE(p_sc,D75,E75,F75)*(1+p_oncost)</f>
        <v>1920</v>
      </c>
      <c r="H75" s="16" t="s">
        <v>245</v>
      </c>
      <c r="I75" s="15" t="n">
        <f aca="false">MAX(c_reg_m-1,1)</f>
        <v>5</v>
      </c>
      <c r="J75" s="11" t="s">
        <v>233</v>
      </c>
    </row>
    <row r="76" customFormat="false" ht="15" hidden="false" customHeight="true" outlineLevel="0" collapsed="false">
      <c r="A76" s="11" t="n">
        <v>7</v>
      </c>
      <c r="B76" s="13" t="s">
        <v>246</v>
      </c>
      <c r="C76" s="10" t="s">
        <v>231</v>
      </c>
      <c r="D76" s="17" t="n">
        <v>200</v>
      </c>
      <c r="E76" s="17" t="n">
        <v>100</v>
      </c>
      <c r="F76" s="17" t="n">
        <v>75</v>
      </c>
      <c r="G76" s="15" t="n">
        <f aca="false">CHOOSE(p_sc,D76,E76,F76)</f>
        <v>100</v>
      </c>
      <c r="H76" s="16" t="s">
        <v>156</v>
      </c>
      <c r="I76" s="15" t="n">
        <f aca="false">c_lic_m</f>
        <v>3</v>
      </c>
      <c r="J76" s="11" t="s">
        <v>247</v>
      </c>
    </row>
    <row r="77" customFormat="false" ht="15" hidden="false" customHeight="true" outlineLevel="0" collapsed="false">
      <c r="A77" s="11" t="n">
        <v>8</v>
      </c>
      <c r="B77" s="13" t="s">
        <v>248</v>
      </c>
      <c r="C77" s="10" t="s">
        <v>238</v>
      </c>
      <c r="D77" s="17" t="n">
        <v>200</v>
      </c>
      <c r="E77" s="17" t="n">
        <v>120</v>
      </c>
      <c r="F77" s="17" t="n">
        <v>80</v>
      </c>
      <c r="G77" s="15" t="n">
        <f aca="false">CHOOSE(p_sc,D77,E77,F77)*(1+p_itbms_srv)</f>
        <v>128.4</v>
      </c>
      <c r="H77" s="16" t="s">
        <v>156</v>
      </c>
      <c r="I77" s="15" t="n">
        <f aca="false">1</f>
        <v>1</v>
      </c>
      <c r="J77" s="11" t="s">
        <v>236</v>
      </c>
    </row>
    <row r="78" customFormat="false" ht="15" hidden="false" customHeight="true" outlineLevel="0" collapsed="false">
      <c r="A78" s="11" t="n">
        <v>9</v>
      </c>
      <c r="B78" s="13" t="s">
        <v>249</v>
      </c>
      <c r="C78" s="10" t="s">
        <v>238</v>
      </c>
      <c r="D78" s="17" t="n">
        <v>200</v>
      </c>
      <c r="E78" s="17" t="n">
        <v>100</v>
      </c>
      <c r="F78" s="17" t="n">
        <v>100</v>
      </c>
      <c r="G78" s="15" t="n">
        <f aca="false">CHOOSE(p_sc,D78,E78,F78)</f>
        <v>100</v>
      </c>
      <c r="H78" s="16" t="s">
        <v>250</v>
      </c>
      <c r="I78" s="15" t="n">
        <f aca="false">1</f>
        <v>1</v>
      </c>
      <c r="J78" s="11" t="s">
        <v>247</v>
      </c>
    </row>
    <row r="79" customFormat="false" ht="15" hidden="false" customHeight="true" outlineLevel="0" collapsed="false">
      <c r="B79" s="8" t="s">
        <v>251</v>
      </c>
      <c r="G79" s="25" t="n">
        <f aca="false">SUM(G70:G78)</f>
        <v>4695.9</v>
      </c>
    </row>
    <row r="81" customFormat="false" ht="15" hidden="false" customHeight="true" outlineLevel="0" collapsed="false">
      <c r="A81" s="24" t="s">
        <v>252</v>
      </c>
    </row>
    <row r="82" customFormat="false" ht="23.25" hidden="false" customHeight="true" outlineLevel="0" collapsed="false">
      <c r="A82" s="12" t="s">
        <v>224</v>
      </c>
      <c r="B82" s="12" t="s">
        <v>225</v>
      </c>
      <c r="C82" s="12" t="s">
        <v>253</v>
      </c>
      <c r="D82" s="12" t="s">
        <v>33</v>
      </c>
      <c r="E82" s="12" t="s">
        <v>34</v>
      </c>
      <c r="F82" s="12" t="s">
        <v>35</v>
      </c>
      <c r="G82" s="12" t="s">
        <v>254</v>
      </c>
      <c r="H82" s="12" t="s">
        <v>37</v>
      </c>
      <c r="I82" s="12" t="s">
        <v>28</v>
      </c>
      <c r="J82" s="12" t="s">
        <v>229</v>
      </c>
    </row>
    <row r="83" customFormat="false" ht="15" hidden="false" customHeight="true" outlineLevel="0" collapsed="false">
      <c r="A83" s="11" t="n">
        <v>1</v>
      </c>
      <c r="B83" s="13" t="s">
        <v>255</v>
      </c>
      <c r="C83" s="17" t="n">
        <v>0</v>
      </c>
      <c r="D83" s="17" t="n">
        <v>6000</v>
      </c>
      <c r="E83" s="17" t="n">
        <v>2500</v>
      </c>
      <c r="F83" s="17" t="n">
        <v>1000</v>
      </c>
      <c r="G83" s="15" t="n">
        <f aca="false">IF(AND(p_sl=1,I83&gt;0),I83,CHOOSE(p_sc,D83,E83,F83))*(1+p_itbms_srv)</f>
        <v>2675</v>
      </c>
      <c r="H83" s="16" t="s">
        <v>256</v>
      </c>
      <c r="I83" s="17" t="n">
        <v>0</v>
      </c>
      <c r="J83" s="11" t="s">
        <v>236</v>
      </c>
    </row>
    <row r="84" customFormat="false" ht="15" hidden="false" customHeight="true" outlineLevel="0" collapsed="false">
      <c r="A84" s="11" t="n">
        <v>2</v>
      </c>
      <c r="B84" s="13" t="s">
        <v>257</v>
      </c>
      <c r="C84" s="17" t="n">
        <v>1</v>
      </c>
      <c r="D84" s="17" t="n">
        <v>3500</v>
      </c>
      <c r="E84" s="17" t="n">
        <v>2500</v>
      </c>
      <c r="F84" s="17" t="n">
        <v>1500</v>
      </c>
      <c r="G84" s="15" t="n">
        <f aca="false">IF(AND(p_sl=1,I84&gt;0),I84,CHOOSE(p_sc,D84,E84,F84))*(1+p_itbms_srv)</f>
        <v>2675</v>
      </c>
      <c r="H84" s="16" t="s">
        <v>258</v>
      </c>
      <c r="I84" s="17" t="n">
        <v>5700</v>
      </c>
      <c r="J84" s="11" t="s">
        <v>236</v>
      </c>
    </row>
    <row r="85" customFormat="false" ht="15" hidden="false" customHeight="true" outlineLevel="0" collapsed="false">
      <c r="A85" s="11" t="n">
        <v>3</v>
      </c>
      <c r="B85" s="13" t="s">
        <v>259</v>
      </c>
      <c r="C85" s="17" t="n">
        <v>1</v>
      </c>
      <c r="D85" s="17" t="n">
        <v>4000</v>
      </c>
      <c r="E85" s="17" t="n">
        <v>2500</v>
      </c>
      <c r="F85" s="17" t="n">
        <v>1500</v>
      </c>
      <c r="G85" s="15" t="n">
        <f aca="false">IF(AND(p_sl=1,I85&gt;0),I85,CHOOSE(p_sc,D85,E85,F85))*(1+p_itbms_srv)</f>
        <v>2675</v>
      </c>
      <c r="H85" s="16" t="s">
        <v>260</v>
      </c>
      <c r="I85" s="17" t="n">
        <v>1750</v>
      </c>
      <c r="J85" s="11" t="s">
        <v>236</v>
      </c>
    </row>
    <row r="86" customFormat="false" ht="15" hidden="false" customHeight="true" outlineLevel="0" collapsed="false">
      <c r="A86" s="11" t="n">
        <v>4</v>
      </c>
      <c r="B86" s="13" t="s">
        <v>261</v>
      </c>
      <c r="C86" s="17" t="n">
        <v>1</v>
      </c>
      <c r="D86" s="17" t="n">
        <v>650</v>
      </c>
      <c r="E86" s="17" t="n">
        <v>650</v>
      </c>
      <c r="F86" s="17" t="n">
        <v>500</v>
      </c>
      <c r="G86" s="15" t="n">
        <f aca="false">IF(AND(p_sl=1,I86&gt;0),I86,CHOOSE(p_sc,D86,E86,F86))*(1+p_itbms_srv)</f>
        <v>695.5</v>
      </c>
      <c r="H86" s="16" t="s">
        <v>262</v>
      </c>
      <c r="I86" s="17" t="n">
        <v>650</v>
      </c>
      <c r="J86" s="11" t="s">
        <v>236</v>
      </c>
    </row>
    <row r="87" customFormat="false" ht="15" hidden="false" customHeight="true" outlineLevel="0" collapsed="false">
      <c r="A87" s="11" t="n">
        <v>5</v>
      </c>
      <c r="B87" s="13" t="s">
        <v>263</v>
      </c>
      <c r="C87" s="17" t="n">
        <v>1</v>
      </c>
      <c r="D87" s="17" t="n">
        <v>3150</v>
      </c>
      <c r="E87" s="17" t="n">
        <v>300</v>
      </c>
      <c r="F87" s="17" t="n">
        <v>0</v>
      </c>
      <c r="G87" s="15" t="n">
        <f aca="false">IF(AND(p_sl=1,I87&gt;0),I87,CHOOSE(p_sc,D87,E87,F87))*(1+p_itbms_srv)</f>
        <v>321</v>
      </c>
      <c r="H87" s="16" t="s">
        <v>264</v>
      </c>
      <c r="I87" s="17" t="n">
        <v>3150</v>
      </c>
      <c r="J87" s="11" t="s">
        <v>236</v>
      </c>
    </row>
    <row r="88" customFormat="false" ht="15" hidden="false" customHeight="true" outlineLevel="0" collapsed="false">
      <c r="A88" s="11" t="n">
        <v>6</v>
      </c>
      <c r="B88" s="13" t="s">
        <v>265</v>
      </c>
      <c r="C88" s="17" t="n">
        <v>2</v>
      </c>
      <c r="D88" s="17" t="n">
        <v>4000</v>
      </c>
      <c r="E88" s="17" t="n">
        <v>1750</v>
      </c>
      <c r="F88" s="17" t="n">
        <v>1000</v>
      </c>
      <c r="G88" s="15" t="n">
        <f aca="false">IF(AND(p_sl=1,I88&gt;0),I88,CHOOSE(p_sc,D88,E88,F88))*(1+p_itbms_srv)</f>
        <v>1872.5</v>
      </c>
      <c r="H88" s="16" t="s">
        <v>266</v>
      </c>
      <c r="I88" s="17" t="n">
        <v>4000</v>
      </c>
      <c r="J88" s="11" t="s">
        <v>236</v>
      </c>
    </row>
    <row r="89" customFormat="false" ht="15" hidden="false" customHeight="true" outlineLevel="0" collapsed="false">
      <c r="A89" s="11" t="n">
        <v>7</v>
      </c>
      <c r="B89" s="13" t="s">
        <v>267</v>
      </c>
      <c r="C89" s="17" t="n">
        <v>2</v>
      </c>
      <c r="D89" s="17" t="n">
        <v>2650</v>
      </c>
      <c r="E89" s="17" t="n">
        <v>750</v>
      </c>
      <c r="F89" s="17" t="n">
        <v>400</v>
      </c>
      <c r="G89" s="15" t="n">
        <f aca="false">IF(AND(p_sl=1,I89&gt;0),I89,CHOOSE(p_sc,D89,E89,F89))*(1+p_itbms_srv)</f>
        <v>802.5</v>
      </c>
      <c r="H89" s="16" t="s">
        <v>268</v>
      </c>
      <c r="I89" s="17" t="n">
        <v>2650</v>
      </c>
      <c r="J89" s="11" t="s">
        <v>236</v>
      </c>
    </row>
    <row r="90" customFormat="false" ht="15" hidden="false" customHeight="true" outlineLevel="0" collapsed="false">
      <c r="A90" s="11" t="n">
        <v>8</v>
      </c>
      <c r="B90" s="13" t="s">
        <v>269</v>
      </c>
      <c r="C90" s="17" t="n">
        <v>2</v>
      </c>
      <c r="D90" s="17" t="n">
        <v>3150</v>
      </c>
      <c r="E90" s="17" t="n">
        <v>1500</v>
      </c>
      <c r="F90" s="17" t="n">
        <v>800</v>
      </c>
      <c r="G90" s="15" t="n">
        <f aca="false">IF(AND(p_sl=1,I90&gt;0),I90,CHOOSE(p_sc,D90,E90,F90))*(1+p_itbms_srv)</f>
        <v>1605</v>
      </c>
      <c r="H90" s="16" t="s">
        <v>264</v>
      </c>
      <c r="I90" s="17" t="n">
        <v>3150</v>
      </c>
      <c r="J90" s="11" t="s">
        <v>236</v>
      </c>
    </row>
    <row r="91" customFormat="false" ht="15" hidden="false" customHeight="true" outlineLevel="0" collapsed="false">
      <c r="A91" s="11" t="n">
        <v>9</v>
      </c>
      <c r="B91" s="13" t="s">
        <v>270</v>
      </c>
      <c r="C91" s="17" t="n">
        <v>3</v>
      </c>
      <c r="D91" s="17" t="n">
        <v>100</v>
      </c>
      <c r="E91" s="17" t="n">
        <v>100</v>
      </c>
      <c r="F91" s="17" t="n">
        <v>100</v>
      </c>
      <c r="G91" s="15" t="n">
        <f aca="false">IF(AND(p_sl=1,I91&gt;0),I91,CHOOSE(p_sc,D91,E91,F91))</f>
        <v>100</v>
      </c>
      <c r="H91" s="16" t="s">
        <v>271</v>
      </c>
      <c r="I91" s="17" t="n">
        <v>100</v>
      </c>
      <c r="J91" s="11" t="s">
        <v>247</v>
      </c>
    </row>
    <row r="92" customFormat="false" ht="15" hidden="false" customHeight="true" outlineLevel="0" collapsed="false">
      <c r="A92" s="11" t="n">
        <v>10</v>
      </c>
      <c r="B92" s="13" t="s">
        <v>272</v>
      </c>
      <c r="C92" s="17" t="n">
        <v>3</v>
      </c>
      <c r="D92" s="17" t="n">
        <v>900</v>
      </c>
      <c r="E92" s="17" t="n">
        <v>300</v>
      </c>
      <c r="F92" s="17" t="n">
        <v>100</v>
      </c>
      <c r="G92" s="15" t="n">
        <f aca="false">IF(AND(p_sl=1,I92&gt;0),I92,CHOOSE(p_sc,D92,E92,F92))*(1+p_itbms_srv)</f>
        <v>321</v>
      </c>
      <c r="H92" s="16" t="s">
        <v>273</v>
      </c>
      <c r="I92" s="17" t="n">
        <v>900</v>
      </c>
      <c r="J92" s="11" t="s">
        <v>236</v>
      </c>
    </row>
    <row r="93" customFormat="false" ht="15" hidden="false" customHeight="true" outlineLevel="0" collapsed="false">
      <c r="A93" s="11" t="n">
        <v>11</v>
      </c>
      <c r="B93" s="13" t="s">
        <v>274</v>
      </c>
      <c r="C93" s="17" t="n">
        <v>4</v>
      </c>
      <c r="D93" s="17" t="n">
        <v>2700</v>
      </c>
      <c r="E93" s="17" t="n">
        <v>500</v>
      </c>
      <c r="F93" s="17" t="n">
        <v>0</v>
      </c>
      <c r="G93" s="15" t="n">
        <f aca="false">IF(AND(p_sl=1,I93&gt;0),I93,CHOOSE(p_sc,D93,E93,F93))*(1+p_itbms_srv)</f>
        <v>535</v>
      </c>
      <c r="H93" s="16" t="s">
        <v>275</v>
      </c>
      <c r="I93" s="17" t="n">
        <v>2700</v>
      </c>
      <c r="J93" s="11" t="s">
        <v>236</v>
      </c>
    </row>
    <row r="94" customFormat="false" ht="15" hidden="false" customHeight="true" outlineLevel="0" collapsed="false">
      <c r="B94" s="8" t="s">
        <v>276</v>
      </c>
      <c r="G94" s="25" t="n">
        <f aca="false">SUM(G83:G93)</f>
        <v>14277.5</v>
      </c>
    </row>
    <row r="96" customFormat="false" ht="15" hidden="false" customHeight="true" outlineLevel="0" collapsed="false">
      <c r="A96" s="24" t="s">
        <v>277</v>
      </c>
    </row>
    <row r="97" customFormat="false" ht="15" hidden="false" customHeight="true" outlineLevel="0" collapsed="false">
      <c r="B97" s="10" t="s">
        <v>278</v>
      </c>
      <c r="E97" s="17" t="n">
        <v>300</v>
      </c>
      <c r="G97" s="15" t="n">
        <f aca="false">E97</f>
        <v>300</v>
      </c>
      <c r="H97" s="11" t="s">
        <v>279</v>
      </c>
      <c r="J97" s="11" t="s">
        <v>247</v>
      </c>
    </row>
    <row r="98" customFormat="false" ht="15" hidden="false" customHeight="true" outlineLevel="0" collapsed="false">
      <c r="B98" s="10" t="s">
        <v>280</v>
      </c>
      <c r="E98" s="17" t="n">
        <v>250</v>
      </c>
      <c r="G98" s="15" t="n">
        <f aca="false">E98*(1+p_itbms_srv)</f>
        <v>267.5</v>
      </c>
      <c r="H98" s="11" t="s">
        <v>281</v>
      </c>
      <c r="J98" s="11" t="s">
        <v>236</v>
      </c>
    </row>
    <row r="99" customFormat="false" ht="15" hidden="false" customHeight="true" outlineLevel="0" collapsed="false">
      <c r="B99" s="8" t="s">
        <v>282</v>
      </c>
      <c r="G99" s="25" t="n">
        <f aca="false">SUM(G97:G98)</f>
        <v>567.5</v>
      </c>
    </row>
    <row r="101" customFormat="false" ht="15" hidden="false" customHeight="true" outlineLevel="0" collapsed="false">
      <c r="A101" s="24" t="s">
        <v>283</v>
      </c>
    </row>
    <row r="102" customFormat="false" ht="15" hidden="false" customHeight="true" outlineLevel="0" collapsed="false">
      <c r="A102" s="11" t="s">
        <v>284</v>
      </c>
      <c r="B102" s="10" t="s">
        <v>285</v>
      </c>
      <c r="G102" s="15" t="n">
        <f aca="false">3</f>
        <v>3</v>
      </c>
    </row>
    <row r="103" customFormat="false" ht="15" hidden="false" customHeight="true" outlineLevel="0" collapsed="false">
      <c r="A103" s="11" t="s">
        <v>286</v>
      </c>
      <c r="B103" s="10" t="s">
        <v>287</v>
      </c>
      <c r="G103" s="15" t="n">
        <f aca="false">3</f>
        <v>3</v>
      </c>
    </row>
    <row r="104" customFormat="false" ht="15" hidden="false" customHeight="true" outlineLevel="0" collapsed="false">
      <c r="A104" s="11" t="s">
        <v>288</v>
      </c>
      <c r="B104" s="10" t="s">
        <v>289</v>
      </c>
      <c r="G104" s="15" t="n">
        <f aca="false">ROUND(p_lead_days/30,0)</f>
        <v>3</v>
      </c>
    </row>
    <row r="105" customFormat="false" ht="15" hidden="false" customHeight="true" outlineLevel="0" collapsed="false">
      <c r="A105" s="11" t="s">
        <v>290</v>
      </c>
      <c r="B105" s="10" t="s">
        <v>291</v>
      </c>
      <c r="G105" s="15" t="n">
        <f aca="false">ROUND(p_dso_days/30,0)</f>
        <v>5</v>
      </c>
    </row>
    <row r="106" customFormat="false" ht="15" hidden="false" customHeight="true" outlineLevel="0" collapsed="false">
      <c r="A106" s="11" t="s">
        <v>292</v>
      </c>
      <c r="B106" s="10" t="s">
        <v>293</v>
      </c>
      <c r="G106" s="15" t="n">
        <f aca="false">ROUND(p_credit_days/30,0)</f>
        <v>0</v>
      </c>
    </row>
    <row r="107" customFormat="false" ht="15" hidden="false" customHeight="true" outlineLevel="0" collapsed="false">
      <c r="A107" s="11" t="s">
        <v>294</v>
      </c>
      <c r="B107" s="10" t="s">
        <v>295</v>
      </c>
      <c r="G107" s="15" t="n">
        <f aca="false">ROUND(p_ship_m,0)</f>
        <v>2</v>
      </c>
    </row>
    <row r="108" customFormat="false" ht="15" hidden="false" customHeight="true" outlineLevel="0" collapsed="false">
      <c r="A108" s="11" t="s">
        <v>296</v>
      </c>
      <c r="B108" s="10" t="s">
        <v>297</v>
      </c>
      <c r="G108" s="15" t="n">
        <f aca="false">ROUND(p_reg_m,0)</f>
        <v>6</v>
      </c>
    </row>
    <row r="109" customFormat="false" ht="15" hidden="false" customHeight="true" outlineLevel="0" collapsed="false">
      <c r="A109" s="11" t="s">
        <v>298</v>
      </c>
      <c r="B109" s="10" t="s">
        <v>299</v>
      </c>
      <c r="G109" s="15" t="n">
        <f aca="false">c_reg_m+c_lead_m</f>
        <v>9</v>
      </c>
    </row>
    <row r="110" customFormat="false" ht="15" hidden="false" customHeight="true" outlineLevel="0" collapsed="false">
      <c r="A110" s="11" t="s">
        <v>300</v>
      </c>
      <c r="B110" s="10" t="s">
        <v>301</v>
      </c>
      <c r="G110" s="15" t="n">
        <f aca="false">MAX(ROUND(p_cen_start,0),c_first_dec)</f>
        <v>15</v>
      </c>
    </row>
    <row r="111" customFormat="false" ht="15" hidden="false" customHeight="true" outlineLevel="0" collapsed="false">
      <c r="A111" s="11" t="s">
        <v>302</v>
      </c>
      <c r="B111" s="10" t="s">
        <v>303</v>
      </c>
      <c r="G111" s="15" t="n">
        <f aca="false">MAX(c_reg_m-c_rs_pay_m,1)</f>
        <v>3</v>
      </c>
    </row>
    <row r="112" customFormat="false" ht="15" hidden="false" customHeight="true" outlineLevel="0" collapsed="false">
      <c r="A112" s="11" t="s">
        <v>304</v>
      </c>
      <c r="B112" s="10" t="s">
        <v>305</v>
      </c>
      <c r="G112" s="15" t="n">
        <f aca="false">ROUND(p_m2,0)</f>
        <v>18</v>
      </c>
    </row>
    <row r="113" customFormat="false" ht="15" hidden="false" customHeight="true" outlineLevel="0" collapsed="false">
      <c r="A113" s="11" t="s">
        <v>306</v>
      </c>
      <c r="B113" s="10" t="s">
        <v>307</v>
      </c>
      <c r="G113" s="15" t="n">
        <f aca="false">c_m2+c_rt+c_lead_m</f>
        <v>24</v>
      </c>
    </row>
    <row r="114" customFormat="false" ht="15" hidden="false" customHeight="true" outlineLevel="0" collapsed="false">
      <c r="A114" s="11" t="s">
        <v>308</v>
      </c>
      <c r="B114" s="10" t="s">
        <v>309</v>
      </c>
      <c r="G114" s="15" t="n">
        <f aca="false">MAX(SUM(SKUs!$D$6:$D$24),1)</f>
        <v>11</v>
      </c>
    </row>
    <row r="115" customFormat="false" ht="15" hidden="false" customHeight="true" outlineLevel="0" collapsed="false">
      <c r="A115" s="11" t="s">
        <v>310</v>
      </c>
      <c r="B115" s="10" t="s">
        <v>311</v>
      </c>
      <c r="G115" s="19" t="n">
        <f aca="false">p_n2*p_rel2/c_n1</f>
        <v>0.381818181818182</v>
      </c>
    </row>
    <row r="116" customFormat="false" ht="15" hidden="false" customHeight="true" outlineLevel="0" collapsed="false">
      <c r="A116" s="11" t="s">
        <v>312</v>
      </c>
      <c r="B116" s="10" t="s">
        <v>313</v>
      </c>
      <c r="G116" s="15" t="n">
        <f aca="false">p_rs_off+p_rs_iea+p_rs_law*(1+p_itbms_srv)+p_rs_smp</f>
        <v>2176</v>
      </c>
    </row>
    <row r="117" customFormat="false" ht="15" hidden="false" customHeight="true" outlineLevel="0" collapsed="false">
      <c r="A117" s="11" t="s">
        <v>314</v>
      </c>
      <c r="B117" s="10" t="s">
        <v>315</v>
      </c>
      <c r="G117" s="15" t="n">
        <f aca="false">ROUND(p_bid_m,0)</f>
        <v>3</v>
      </c>
    </row>
    <row r="118" customFormat="false" ht="15" hidden="false" customHeight="true" outlineLevel="0" collapsed="false">
      <c r="A118" s="11" t="s">
        <v>316</v>
      </c>
      <c r="B118" s="10" t="s">
        <v>317</v>
      </c>
      <c r="G118" s="15" t="n">
        <f aca="false">SUM(SKUs!$D$6:$D$24)*p_rs_succ</f>
        <v>9.35</v>
      </c>
    </row>
    <row r="119" customFormat="false" ht="15" hidden="false" customHeight="true" outlineLevel="0" collapsed="false">
      <c r="A119" s="11" t="s">
        <v>318</v>
      </c>
      <c r="B119" s="10" t="s">
        <v>319</v>
      </c>
      <c r="G119" s="15" t="n">
        <f aca="false">p_n2*p_rs_succ</f>
        <v>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4" min="3" style="1" width="8"/>
    <col collapsed="false" customWidth="true" hidden="false" outlineLevel="0" max="6" min="5" style="1" width="11"/>
    <col collapsed="false" customWidth="true" hidden="false" outlineLevel="0" max="7" min="7" style="1" width="34"/>
    <col collapsed="false" customWidth="true" hidden="false" outlineLevel="0" max="40" min="8" style="1" width="11"/>
  </cols>
  <sheetData>
    <row r="1" customFormat="false" ht="17.25" hidden="false" customHeight="true" outlineLevel="0" collapsed="false">
      <c r="A1" s="7" t="s">
        <v>320</v>
      </c>
    </row>
    <row r="2" customFormat="false" ht="15" hidden="false" customHeight="true" outlineLevel="0" collapsed="false">
      <c r="A2" s="11" t="s">
        <v>321</v>
      </c>
    </row>
    <row r="3" customFormat="false" ht="15" hidden="false" customHeight="true" outlineLevel="0" collapsed="false">
      <c r="A3" s="11" t="s">
        <v>322</v>
      </c>
    </row>
    <row r="5" customFormat="false" ht="60" hidden="false" customHeight="true" outlineLevel="0" collapsed="false">
      <c r="A5" s="12" t="s">
        <v>323</v>
      </c>
      <c r="B5" s="12" t="s">
        <v>324</v>
      </c>
      <c r="C5" s="12" t="s">
        <v>325</v>
      </c>
      <c r="D5" s="12" t="s">
        <v>326</v>
      </c>
      <c r="E5" s="12" t="s">
        <v>327</v>
      </c>
      <c r="F5" s="12" t="s">
        <v>328</v>
      </c>
      <c r="G5" s="12" t="s">
        <v>329</v>
      </c>
      <c r="H5" s="12" t="s">
        <v>330</v>
      </c>
      <c r="I5" s="12" t="s">
        <v>331</v>
      </c>
      <c r="J5" s="12" t="s">
        <v>332</v>
      </c>
      <c r="K5" s="12" t="s">
        <v>333</v>
      </c>
      <c r="L5" s="12" t="s">
        <v>334</v>
      </c>
      <c r="M5" s="12" t="s">
        <v>335</v>
      </c>
      <c r="N5" s="12" t="s">
        <v>336</v>
      </c>
      <c r="O5" s="12" t="s">
        <v>337</v>
      </c>
      <c r="P5" s="12" t="s">
        <v>338</v>
      </c>
      <c r="Q5" s="12" t="s">
        <v>339</v>
      </c>
      <c r="R5" s="12" t="s">
        <v>340</v>
      </c>
      <c r="S5" s="12" t="s">
        <v>341</v>
      </c>
      <c r="T5" s="12" t="s">
        <v>342</v>
      </c>
      <c r="U5" s="12" t="s">
        <v>343</v>
      </c>
      <c r="V5" s="12" t="s">
        <v>344</v>
      </c>
      <c r="W5" s="12" t="s">
        <v>345</v>
      </c>
      <c r="X5" s="12" t="s">
        <v>346</v>
      </c>
      <c r="Y5" s="12" t="s">
        <v>347</v>
      </c>
      <c r="Z5" s="12" t="s">
        <v>348</v>
      </c>
      <c r="AA5" s="12" t="s">
        <v>349</v>
      </c>
      <c r="AB5" s="12" t="s">
        <v>350</v>
      </c>
      <c r="AC5" s="12" t="s">
        <v>351</v>
      </c>
      <c r="AD5" s="12" t="s">
        <v>352</v>
      </c>
      <c r="AE5" s="12" t="s">
        <v>353</v>
      </c>
      <c r="AF5" s="12" t="s">
        <v>354</v>
      </c>
      <c r="AG5" s="12" t="s">
        <v>355</v>
      </c>
      <c r="AH5" s="12" t="s">
        <v>356</v>
      </c>
      <c r="AI5" s="12" t="s">
        <v>357</v>
      </c>
      <c r="AJ5" s="12" t="s">
        <v>358</v>
      </c>
      <c r="AK5" s="12" t="s">
        <v>359</v>
      </c>
      <c r="AL5" s="12" t="s">
        <v>360</v>
      </c>
      <c r="AM5" s="12" t="s">
        <v>361</v>
      </c>
      <c r="AN5" s="12" t="s">
        <v>362</v>
      </c>
    </row>
    <row r="6" customFormat="false" ht="23.25" hidden="false" customHeight="true" outlineLevel="0" collapsed="false">
      <c r="A6" s="10" t="s">
        <v>363</v>
      </c>
      <c r="B6" s="13" t="s">
        <v>364</v>
      </c>
      <c r="C6" s="10" t="s">
        <v>365</v>
      </c>
      <c r="D6" s="26" t="n">
        <v>1</v>
      </c>
      <c r="E6" s="27" t="n">
        <v>0.004</v>
      </c>
      <c r="F6" s="27" t="n">
        <v>0.00237</v>
      </c>
      <c r="G6" s="13" t="s">
        <v>366</v>
      </c>
      <c r="H6" s="17" t="n">
        <v>23770516</v>
      </c>
      <c r="I6" s="27" t="n">
        <v>0.01</v>
      </c>
      <c r="J6" s="17" t="n">
        <v>0</v>
      </c>
      <c r="K6" s="27" t="n">
        <v>0</v>
      </c>
      <c r="L6" s="17" t="n">
        <v>5810286</v>
      </c>
      <c r="M6" s="27" t="n">
        <v>0.02</v>
      </c>
      <c r="N6" s="17" t="n">
        <v>11102514</v>
      </c>
      <c r="O6" s="27" t="n">
        <v>0.02</v>
      </c>
      <c r="P6" s="28" t="n">
        <f aca="false">E6*p_sup_idx*(1+p_pack)+F6*p_log_mult</f>
        <v>0.00762</v>
      </c>
      <c r="Q6" s="28" t="n">
        <f aca="false">I6*p_pf_cen</f>
        <v>0.0095</v>
      </c>
      <c r="R6" s="28" t="n">
        <f aca="false">K6*p_pf_cen</f>
        <v>0</v>
      </c>
      <c r="S6" s="28" t="n">
        <f aca="false">M6*p_pf_dec</f>
        <v>0.018</v>
      </c>
      <c r="T6" s="28" t="n">
        <f aca="false">O6*p_pf_dec</f>
        <v>0.018</v>
      </c>
      <c r="U6" s="21" t="n">
        <f aca="false">IF(Q6&gt;0,1-P6/Q6,-9)</f>
        <v>0.197894736842105</v>
      </c>
      <c r="V6" s="21" t="n">
        <f aca="false">IF(R6&gt;0,1-P6/R6,-9)</f>
        <v>-9</v>
      </c>
      <c r="W6" s="21" t="n">
        <f aca="false">IF(S6&gt;0,1-P6/S6,-9)</f>
        <v>0.576666666666667</v>
      </c>
      <c r="X6" s="21" t="n">
        <f aca="false">IF(T6&gt;0,1-P6/T6,-9)</f>
        <v>0.576666666666667</v>
      </c>
      <c r="Y6" s="29" t="n">
        <f aca="false">IF(AND($D6=1,H6&gt;0,U6&gt;=p_gm_cen),1,0)</f>
        <v>0</v>
      </c>
      <c r="Z6" s="29" t="n">
        <f aca="false">IF(AND($D6=1,J6&gt;0,V6&gt;=p_gm_cen),1,0)</f>
        <v>0</v>
      </c>
      <c r="AA6" s="29" t="n">
        <f aca="false">IF(AND($D6=1,L6&gt;0,W6&gt;=p_gm_dec),1,0)</f>
        <v>1</v>
      </c>
      <c r="AB6" s="29" t="n">
        <f aca="false">IF(AND($D6=1,N6&gt;0,X6&gt;=p_gm_dec),1,0)</f>
        <v>1</v>
      </c>
      <c r="AC6" s="15" t="n">
        <f aca="false">AA6*L6*p_mkt*S6*p_rs_succ*p_share_dec</f>
        <v>17601.6804084</v>
      </c>
      <c r="AD6" s="15" t="n">
        <f aca="false">AB6*N6*p_mkt*T6*p_rs_succ*p_share_dec</f>
        <v>33633.9559116</v>
      </c>
      <c r="AE6" s="15" t="n">
        <f aca="false">Y6*H6*p_mkt*Q6*p_rs_succ*p_realiz</f>
        <v>0</v>
      </c>
      <c r="AF6" s="15" t="n">
        <f aca="false">Z6*J6*p_mkt*R6*p_rs_succ*p_realiz</f>
        <v>0</v>
      </c>
      <c r="AG6" s="15" t="n">
        <f aca="false">IF(S6&gt;0,AC6*P6/S6,0)</f>
        <v>7451.378039556</v>
      </c>
      <c r="AH6" s="15" t="n">
        <f aca="false">IF(T6&gt;0,AD6*P6/T6,0)</f>
        <v>14238.374669244</v>
      </c>
      <c r="AI6" s="15" t="n">
        <f aca="false">IF(Q6&gt;0,AE6*P6/Q6,0)</f>
        <v>0</v>
      </c>
      <c r="AJ6" s="15" t="n">
        <f aca="false">IF(R6&gt;0,AF6*P6/R6,0)</f>
        <v>0</v>
      </c>
      <c r="AK6" s="15" t="n">
        <f aca="false">AC6+AD6+AE6*p_pwin_cen+AF6*p_pwin_cen*p_minsa_occ</f>
        <v>51235.63632</v>
      </c>
      <c r="AL6" s="15" t="n">
        <f aca="false">(AC6-AG6)+(AD6-AH6)+(AE6-AI6)*p_pwin_cen+(AF6-AJ6)*p_pwin_cen*p_minsa_occ</f>
        <v>29545.8836112</v>
      </c>
      <c r="AM6" s="21" t="n">
        <f aca="false">IF(P6&gt;0,E6*p_sup_idx*(1+p_pack)/P6,0)</f>
        <v>0.688976377952756</v>
      </c>
      <c r="AN6" s="15" t="n">
        <f aca="false">IF(AND(Y6=1,H6*I6*15/12&gt;70000),H6*p_mkt*Q6*p_rs_succ,0)</f>
        <v>0</v>
      </c>
    </row>
    <row r="7" customFormat="false" ht="23.25" hidden="false" customHeight="true" outlineLevel="0" collapsed="false">
      <c r="A7" s="10" t="s">
        <v>367</v>
      </c>
      <c r="B7" s="13" t="s">
        <v>368</v>
      </c>
      <c r="C7" s="10" t="s">
        <v>365</v>
      </c>
      <c r="D7" s="26" t="n">
        <v>1</v>
      </c>
      <c r="E7" s="27" t="n">
        <v>0.17</v>
      </c>
      <c r="F7" s="27" t="n">
        <v>0.1629</v>
      </c>
      <c r="G7" s="13" t="s">
        <v>369</v>
      </c>
      <c r="H7" s="17" t="n">
        <v>315718</v>
      </c>
      <c r="I7" s="27" t="n">
        <v>0.59</v>
      </c>
      <c r="J7" s="17" t="n">
        <v>524358</v>
      </c>
      <c r="K7" s="27" t="n">
        <v>0.4</v>
      </c>
      <c r="L7" s="17" t="n">
        <v>0</v>
      </c>
      <c r="M7" s="27" t="n">
        <v>0</v>
      </c>
      <c r="N7" s="17" t="n">
        <v>61873</v>
      </c>
      <c r="O7" s="27" t="n">
        <v>0.95</v>
      </c>
      <c r="P7" s="28" t="n">
        <f aca="false">E7*p_sup_idx*(1+p_pack)+F7*p_log_mult</f>
        <v>0.386025</v>
      </c>
      <c r="Q7" s="28" t="n">
        <f aca="false">I7*p_pf_cen</f>
        <v>0.5605</v>
      </c>
      <c r="R7" s="28" t="n">
        <f aca="false">K7*p_pf_cen</f>
        <v>0.38</v>
      </c>
      <c r="S7" s="28" t="n">
        <f aca="false">M7*p_pf_dec</f>
        <v>0</v>
      </c>
      <c r="T7" s="28" t="n">
        <f aca="false">O7*p_pf_dec</f>
        <v>0.855</v>
      </c>
      <c r="U7" s="21" t="n">
        <f aca="false">IF(Q7&gt;0,1-P7/Q7,-9)</f>
        <v>0.31128456735058</v>
      </c>
      <c r="V7" s="21" t="n">
        <f aca="false">IF(R7&gt;0,1-P7/R7,-9)</f>
        <v>-0.015855263157895</v>
      </c>
      <c r="W7" s="21" t="n">
        <f aca="false">IF(S7&gt;0,1-P7/S7,-9)</f>
        <v>-9</v>
      </c>
      <c r="X7" s="21" t="n">
        <f aca="false">IF(T7&gt;0,1-P7/T7,-9)</f>
        <v>0.548508771929825</v>
      </c>
      <c r="Y7" s="29" t="n">
        <f aca="false">IF(AND($D7=1,H7&gt;0,U7&gt;=p_gm_cen),1,0)</f>
        <v>1</v>
      </c>
      <c r="Z7" s="29" t="n">
        <f aca="false">IF(AND($D7=1,J7&gt;0,V7&gt;=p_gm_cen),1,0)</f>
        <v>0</v>
      </c>
      <c r="AA7" s="29" t="n">
        <f aca="false">IF(AND($D7=1,L7&gt;0,W7&gt;=p_gm_dec),1,0)</f>
        <v>0</v>
      </c>
      <c r="AB7" s="29" t="n">
        <f aca="false">IF(AND($D7=1,N7&gt;0,X7&gt;=p_gm_dec),1,0)</f>
        <v>1</v>
      </c>
      <c r="AC7" s="15" t="n">
        <f aca="false">AA7*L7*p_mkt*S7*p_rs_succ*p_share_dec</f>
        <v>0</v>
      </c>
      <c r="AD7" s="15" t="n">
        <f aca="false">AB7*N7*p_mkt*T7*p_rs_succ*p_share_dec</f>
        <v>8903.3081445</v>
      </c>
      <c r="AE7" s="15" t="n">
        <f aca="false">Y7*H7*p_mkt*Q7*p_rs_succ*p_realiz</f>
        <v>101530.76500125</v>
      </c>
      <c r="AF7" s="15" t="n">
        <f aca="false">Z7*J7*p_mkt*R7*p_rs_succ*p_realiz</f>
        <v>0</v>
      </c>
      <c r="AG7" s="15" t="n">
        <f aca="false">IF(S7&gt;0,AC7*P7/S7,0)</f>
        <v>0</v>
      </c>
      <c r="AH7" s="15" t="n">
        <f aca="false">IF(T7&gt;0,AD7*P7/T7,0)</f>
        <v>4019.7655280475</v>
      </c>
      <c r="AI7" s="15" t="n">
        <f aca="false">IF(Q7&gt;0,AE7*P7/Q7,0)</f>
        <v>69925.8047450625</v>
      </c>
      <c r="AJ7" s="15" t="n">
        <f aca="false">IF(R7&gt;0,AF7*P7/R7,0)</f>
        <v>0</v>
      </c>
      <c r="AK7" s="15" t="n">
        <f aca="false">AC7+AD7+AE7*p_pwin_cen+AF7*p_pwin_cen*p_minsa_occ</f>
        <v>39362.537644875</v>
      </c>
      <c r="AL7" s="15" t="n">
        <f aca="false">(AC7-AG7)+(AD7-AH7)+(AE7-AI7)*p_pwin_cen+(AF7-AJ7)*p_pwin_cen*p_minsa_occ</f>
        <v>14365.0306933087</v>
      </c>
      <c r="AM7" s="21" t="n">
        <f aca="false">IF(P7&gt;0,E7*p_sup_idx*(1+p_pack)/P7,0)</f>
        <v>0.578006605789781</v>
      </c>
      <c r="AN7" s="15" t="n">
        <f aca="false">IF(AND(Y7=1,H7*I7*15/12&gt;70000),H7*p_mkt*Q7*p_rs_succ,0)</f>
        <v>135374.353335</v>
      </c>
    </row>
    <row r="8" customFormat="false" ht="15" hidden="false" customHeight="true" outlineLevel="0" collapsed="false">
      <c r="A8" s="10" t="s">
        <v>370</v>
      </c>
      <c r="B8" s="13" t="s">
        <v>371</v>
      </c>
      <c r="C8" s="10" t="s">
        <v>365</v>
      </c>
      <c r="D8" s="26" t="n">
        <v>1</v>
      </c>
      <c r="E8" s="27" t="n">
        <v>0.086</v>
      </c>
      <c r="F8" s="27" t="n">
        <v>0.00265</v>
      </c>
      <c r="G8" s="13" t="s">
        <v>372</v>
      </c>
      <c r="H8" s="17" t="n">
        <v>46534</v>
      </c>
      <c r="I8" s="27" t="n">
        <v>0.179</v>
      </c>
      <c r="J8" s="17" t="n">
        <v>191135</v>
      </c>
      <c r="K8" s="27" t="n">
        <v>0.19</v>
      </c>
      <c r="L8" s="17" t="n">
        <v>0</v>
      </c>
      <c r="M8" s="27" t="n">
        <v>0</v>
      </c>
      <c r="N8" s="17" t="n">
        <v>30555</v>
      </c>
      <c r="O8" s="27" t="n">
        <v>0.29</v>
      </c>
      <c r="P8" s="28" t="n">
        <f aca="false">E8*p_sup_idx*(1+p_pack)+F8*p_log_mult</f>
        <v>0.115525</v>
      </c>
      <c r="Q8" s="28" t="n">
        <f aca="false">I8*p_pf_cen</f>
        <v>0.17005</v>
      </c>
      <c r="R8" s="28" t="n">
        <f aca="false">K8*p_pf_cen</f>
        <v>0.1805</v>
      </c>
      <c r="S8" s="28" t="n">
        <f aca="false">M8*p_pf_dec</f>
        <v>0</v>
      </c>
      <c r="T8" s="28" t="n">
        <f aca="false">O8*p_pf_dec</f>
        <v>0.261</v>
      </c>
      <c r="U8" s="21" t="n">
        <f aca="false">IF(Q8&gt;0,1-P8/Q8,-9)</f>
        <v>0.320640987944722</v>
      </c>
      <c r="V8" s="21" t="n">
        <f aca="false">IF(R8&gt;0,1-P8/R8,-9)</f>
        <v>0.359972299168975</v>
      </c>
      <c r="W8" s="21" t="n">
        <f aca="false">IF(S8&gt;0,1-P8/S8,-9)</f>
        <v>-9</v>
      </c>
      <c r="X8" s="21" t="n">
        <f aca="false">IF(T8&gt;0,1-P8/T8,-9)</f>
        <v>0.557375478927203</v>
      </c>
      <c r="Y8" s="29" t="n">
        <f aca="false">IF(AND($D8=1,H8&gt;0,U8&gt;=p_gm_cen),1,0)</f>
        <v>1</v>
      </c>
      <c r="Z8" s="29" t="n">
        <f aca="false">IF(AND($D8=1,J8&gt;0,V8&gt;=p_gm_cen),1,0)</f>
        <v>1</v>
      </c>
      <c r="AA8" s="29" t="n">
        <f aca="false">IF(AND($D8=1,L8&gt;0,W8&gt;=p_gm_dec),1,0)</f>
        <v>0</v>
      </c>
      <c r="AB8" s="29" t="n">
        <f aca="false">IF(AND($D8=1,N8&gt;0,X8&gt;=p_gm_dec),1,0)</f>
        <v>1</v>
      </c>
      <c r="AC8" s="15" t="n">
        <f aca="false">AA8*L8*p_mkt*S8*p_rs_succ*p_share_dec</f>
        <v>0</v>
      </c>
      <c r="AD8" s="15" t="n">
        <f aca="false">AB8*N8*p_mkt*T8*p_rs_succ*p_share_dec</f>
        <v>1342.1680965</v>
      </c>
      <c r="AE8" s="15" t="n">
        <f aca="false">Y8*H8*p_mkt*Q8*p_rs_succ*p_realiz</f>
        <v>4540.144969125</v>
      </c>
      <c r="AF8" s="15" t="n">
        <f aca="false">Z8*J8*p_mkt*R8*p_rs_succ*p_realiz</f>
        <v>19794.298978125</v>
      </c>
      <c r="AG8" s="15" t="n">
        <f aca="false">IF(S8&gt;0,AC8*P8/S8,0)</f>
        <v>0</v>
      </c>
      <c r="AH8" s="15" t="n">
        <f aca="false">IF(T8&gt;0,AD8*P8/T8,0)</f>
        <v>594.0765109125</v>
      </c>
      <c r="AI8" s="15" t="n">
        <f aca="false">IF(Q8&gt;0,AE8*P8/Q8,0)</f>
        <v>3084.3884008125</v>
      </c>
      <c r="AJ8" s="15" t="n">
        <f aca="false">IF(R8&gt;0,AF8*P8/R8,0)</f>
        <v>12668.8996645312</v>
      </c>
      <c r="AK8" s="15" t="n">
        <f aca="false">AC8+AD8+AE8*p_pwin_cen+AF8*p_pwin_cen*p_minsa_occ</f>
        <v>5673.35643395625</v>
      </c>
      <c r="AL8" s="15" t="n">
        <f aca="false">(AC8-AG8)+(AD8-AH8)+(AE8-AI8)*p_pwin_cen+(AF8-AJ8)*p_pwin_cen*p_minsa_occ</f>
        <v>2253.62845312031</v>
      </c>
      <c r="AM8" s="21" t="n">
        <f aca="false">IF(P8&gt;0,E8*p_sup_idx*(1+p_pack)/P8,0)</f>
        <v>0.977061242155378</v>
      </c>
      <c r="AN8" s="15" t="n">
        <f aca="false">IF(AND(Y8=1,H8*I8*15/12&gt;70000),H8*p_mkt*Q8*p_rs_succ,0)</f>
        <v>0</v>
      </c>
    </row>
    <row r="9" customFormat="false" ht="23.25" hidden="false" customHeight="true" outlineLevel="0" collapsed="false">
      <c r="A9" s="10" t="s">
        <v>373</v>
      </c>
      <c r="B9" s="13" t="s">
        <v>374</v>
      </c>
      <c r="C9" s="10" t="s">
        <v>365</v>
      </c>
      <c r="D9" s="26" t="n">
        <v>1</v>
      </c>
      <c r="E9" s="27" t="n">
        <v>1.1</v>
      </c>
      <c r="F9" s="27" t="n">
        <v>0.1955</v>
      </c>
      <c r="G9" s="13" t="s">
        <v>375</v>
      </c>
      <c r="H9" s="17" t="n">
        <v>10217</v>
      </c>
      <c r="I9" s="27" t="n">
        <v>1.98</v>
      </c>
      <c r="J9" s="17" t="n">
        <v>0</v>
      </c>
      <c r="K9" s="27" t="n">
        <v>0</v>
      </c>
      <c r="L9" s="17" t="n">
        <v>0</v>
      </c>
      <c r="M9" s="27" t="n">
        <v>0</v>
      </c>
      <c r="N9" s="17" t="n">
        <v>6891</v>
      </c>
      <c r="O9" s="27" t="n">
        <v>4.18</v>
      </c>
      <c r="P9" s="28" t="n">
        <f aca="false">E9*p_sup_idx*(1+p_pack)+F9*p_log_mult</f>
        <v>1.63925</v>
      </c>
      <c r="Q9" s="28" t="n">
        <f aca="false">I9*p_pf_cen</f>
        <v>1.881</v>
      </c>
      <c r="R9" s="28" t="n">
        <f aca="false">K9*p_pf_cen</f>
        <v>0</v>
      </c>
      <c r="S9" s="28" t="n">
        <f aca="false">M9*p_pf_dec</f>
        <v>0</v>
      </c>
      <c r="T9" s="28" t="n">
        <f aca="false">O9*p_pf_dec</f>
        <v>3.762</v>
      </c>
      <c r="U9" s="21" t="n">
        <f aca="false">IF(Q9&gt;0,1-P9/Q9,-9)</f>
        <v>0.128522062732589</v>
      </c>
      <c r="V9" s="21" t="n">
        <f aca="false">IF(R9&gt;0,1-P9/R9,-9)</f>
        <v>-9</v>
      </c>
      <c r="W9" s="21" t="n">
        <f aca="false">IF(S9&gt;0,1-P9/S9,-9)</f>
        <v>-9</v>
      </c>
      <c r="X9" s="21" t="n">
        <f aca="false">IF(T9&gt;0,1-P9/T9,-9)</f>
        <v>0.564261031366295</v>
      </c>
      <c r="Y9" s="29" t="n">
        <f aca="false">IF(AND($D9=1,H9&gt;0,U9&gt;=p_gm_cen),1,0)</f>
        <v>0</v>
      </c>
      <c r="Z9" s="29" t="n">
        <f aca="false">IF(AND($D9=1,J9&gt;0,V9&gt;=p_gm_cen),1,0)</f>
        <v>0</v>
      </c>
      <c r="AA9" s="29" t="n">
        <f aca="false">IF(AND($D9=1,L9&gt;0,W9&gt;=p_gm_dec),1,0)</f>
        <v>0</v>
      </c>
      <c r="AB9" s="29" t="n">
        <f aca="false">IF(AND($D9=1,N9&gt;0,X9&gt;=p_gm_dec),1,0)</f>
        <v>1</v>
      </c>
      <c r="AC9" s="15" t="n">
        <f aca="false">AA9*L9*p_mkt*S9*p_rs_succ*p_share_dec</f>
        <v>0</v>
      </c>
      <c r="AD9" s="15" t="n">
        <f aca="false">AB9*N9*p_mkt*T9*p_rs_succ*p_share_dec</f>
        <v>4362.9994386</v>
      </c>
      <c r="AE9" s="15" t="n">
        <f aca="false">Y9*H9*p_mkt*Q9*p_rs_succ*p_realiz</f>
        <v>0</v>
      </c>
      <c r="AF9" s="15" t="n">
        <f aca="false">Z9*J9*p_mkt*R9*p_rs_succ*p_realiz</f>
        <v>0</v>
      </c>
      <c r="AG9" s="15" t="n">
        <f aca="false">IF(S9&gt;0,AC9*P9/S9,0)</f>
        <v>0</v>
      </c>
      <c r="AH9" s="15" t="n">
        <f aca="false">IF(T9&gt;0,AD9*P9/T9,0)</f>
        <v>1901.128875525</v>
      </c>
      <c r="AI9" s="15" t="n">
        <f aca="false">IF(Q9&gt;0,AE9*P9/Q9,0)</f>
        <v>0</v>
      </c>
      <c r="AJ9" s="15" t="n">
        <f aca="false">IF(R9&gt;0,AF9*P9/R9,0)</f>
        <v>0</v>
      </c>
      <c r="AK9" s="15" t="n">
        <f aca="false">AC9+AD9+AE9*p_pwin_cen+AF9*p_pwin_cen*p_minsa_occ</f>
        <v>4362.9994386</v>
      </c>
      <c r="AL9" s="15" t="n">
        <f aca="false">(AC9-AG9)+(AD9-AH9)+(AE9-AI9)*p_pwin_cen+(AF9-AJ9)*p_pwin_cen*p_minsa_occ</f>
        <v>2461.870563075</v>
      </c>
      <c r="AM9" s="21" t="n">
        <f aca="false">IF(P9&gt;0,E9*p_sup_idx*(1+p_pack)/P9,0)</f>
        <v>0.880738142443191</v>
      </c>
      <c r="AN9" s="15" t="n">
        <f aca="false">IF(AND(Y9=1,H9*I9*15/12&gt;70000),H9*p_mkt*Q9*p_rs_succ,0)</f>
        <v>0</v>
      </c>
    </row>
    <row r="10" customFormat="false" ht="23.25" hidden="false" customHeight="true" outlineLevel="0" collapsed="false">
      <c r="A10" s="10" t="s">
        <v>376</v>
      </c>
      <c r="B10" s="13" t="s">
        <v>377</v>
      </c>
      <c r="C10" s="10" t="s">
        <v>365</v>
      </c>
      <c r="D10" s="26" t="n">
        <v>1</v>
      </c>
      <c r="E10" s="27" t="n">
        <v>0.2</v>
      </c>
      <c r="F10" s="27" t="n">
        <v>0.01837</v>
      </c>
      <c r="G10" s="13" t="s">
        <v>378</v>
      </c>
      <c r="H10" s="17" t="n">
        <v>194242</v>
      </c>
      <c r="I10" s="27" t="n">
        <v>0.239</v>
      </c>
      <c r="J10" s="17" t="n">
        <v>201135</v>
      </c>
      <c r="K10" s="27" t="n">
        <v>0.25</v>
      </c>
      <c r="L10" s="17" t="n">
        <v>1671</v>
      </c>
      <c r="M10" s="27" t="n">
        <v>0.78</v>
      </c>
      <c r="N10" s="17" t="n">
        <v>119983</v>
      </c>
      <c r="O10" s="27" t="n">
        <v>0.613</v>
      </c>
      <c r="P10" s="28" t="n">
        <f aca="false">E10*p_sup_idx*(1+p_pack)+F10*p_log_mult</f>
        <v>0.28087</v>
      </c>
      <c r="Q10" s="28" t="n">
        <f aca="false">I10*p_pf_cen</f>
        <v>0.22705</v>
      </c>
      <c r="R10" s="28" t="n">
        <f aca="false">K10*p_pf_cen</f>
        <v>0.2375</v>
      </c>
      <c r="S10" s="28" t="n">
        <f aca="false">M10*p_pf_dec</f>
        <v>0.702</v>
      </c>
      <c r="T10" s="28" t="n">
        <f aca="false">O10*p_pf_dec</f>
        <v>0.5517</v>
      </c>
      <c r="U10" s="21" t="n">
        <f aca="false">IF(Q10&gt;0,1-P10/Q10,-9)</f>
        <v>-0.237040299493504</v>
      </c>
      <c r="V10" s="21" t="n">
        <f aca="false">IF(R10&gt;0,1-P10/R10,-9)</f>
        <v>-0.18261052631579</v>
      </c>
      <c r="W10" s="21" t="n">
        <f aca="false">IF(S10&gt;0,1-P10/S10,-9)</f>
        <v>0.599900284900285</v>
      </c>
      <c r="X10" s="21" t="n">
        <f aca="false">IF(T10&gt;0,1-P10/T10,-9)</f>
        <v>0.490900851912271</v>
      </c>
      <c r="Y10" s="29" t="n">
        <f aca="false">IF(AND($D10=1,H10&gt;0,U10&gt;=p_gm_cen),1,0)</f>
        <v>0</v>
      </c>
      <c r="Z10" s="29" t="n">
        <f aca="false">IF(AND($D10=1,J10&gt;0,V10&gt;=p_gm_cen),1,0)</f>
        <v>0</v>
      </c>
      <c r="AA10" s="29" t="n">
        <f aca="false">IF(AND($D10=1,L10&gt;0,W10&gt;=p_gm_dec),1,0)</f>
        <v>1</v>
      </c>
      <c r="AB10" s="29" t="n">
        <f aca="false">IF(AND($D10=1,N10&gt;0,X10&gt;=p_gm_dec),1,0)</f>
        <v>1</v>
      </c>
      <c r="AC10" s="15" t="n">
        <f aca="false">AA10*L10*p_mkt*S10*p_rs_succ*p_share_dec</f>
        <v>197.4229686</v>
      </c>
      <c r="AD10" s="15" t="n">
        <f aca="false">AB10*N10*p_mkt*T10*p_rs_succ*p_share_dec</f>
        <v>11140.55473113</v>
      </c>
      <c r="AE10" s="15" t="n">
        <f aca="false">Y10*H10*p_mkt*Q10*p_rs_succ*p_realiz</f>
        <v>0</v>
      </c>
      <c r="AF10" s="15" t="n">
        <f aca="false">Z10*J10*p_mkt*R10*p_rs_succ*p_realiz</f>
        <v>0</v>
      </c>
      <c r="AG10" s="15" t="n">
        <f aca="false">IF(S10&gt;0,AC10*P10/S10,0)</f>
        <v>78.988873491</v>
      </c>
      <c r="AH10" s="15" t="n">
        <f aca="false">IF(T10&gt;0,AD10*P10/T10,0)</f>
        <v>5671.646922843</v>
      </c>
      <c r="AI10" s="15" t="n">
        <f aca="false">IF(Q10&gt;0,AE10*P10/Q10,0)</f>
        <v>0</v>
      </c>
      <c r="AJ10" s="15" t="n">
        <f aca="false">IF(R10&gt;0,AF10*P10/R10,0)</f>
        <v>0</v>
      </c>
      <c r="AK10" s="15" t="n">
        <f aca="false">AC10+AD10+AE10*p_pwin_cen+AF10*p_pwin_cen*p_minsa_occ</f>
        <v>11337.97769973</v>
      </c>
      <c r="AL10" s="15" t="n">
        <f aca="false">(AC10-AG10)+(AD10-AH10)+(AE10-AI10)*p_pwin_cen+(AF10-AJ10)*p_pwin_cen*p_minsa_occ</f>
        <v>5587.341903396</v>
      </c>
      <c r="AM10" s="21" t="n">
        <f aca="false">IF(P10&gt;0,E10*p_sup_idx*(1+p_pack)/P10,0)</f>
        <v>0.934596076476662</v>
      </c>
      <c r="AN10" s="15" t="n">
        <f aca="false">IF(AND(Y10=1,H10*I10*15/12&gt;70000),H10*p_mkt*Q10*p_rs_succ,0)</f>
        <v>0</v>
      </c>
    </row>
    <row r="11" customFormat="false" ht="15" hidden="false" customHeight="true" outlineLevel="0" collapsed="false">
      <c r="A11" s="10" t="s">
        <v>379</v>
      </c>
      <c r="B11" s="13" t="s">
        <v>380</v>
      </c>
      <c r="C11" s="10" t="s">
        <v>365</v>
      </c>
      <c r="D11" s="26" t="n">
        <v>1</v>
      </c>
      <c r="E11" s="27" t="n">
        <v>0.11</v>
      </c>
      <c r="F11" s="27" t="n">
        <v>0.01807</v>
      </c>
      <c r="G11" s="13" t="s">
        <v>381</v>
      </c>
      <c r="H11" s="17" t="n">
        <v>168687</v>
      </c>
      <c r="I11" s="27" t="n">
        <v>0.259</v>
      </c>
      <c r="J11" s="17" t="n">
        <v>177344</v>
      </c>
      <c r="K11" s="27" t="n">
        <v>0.27</v>
      </c>
      <c r="L11" s="17" t="n">
        <v>7200</v>
      </c>
      <c r="M11" s="27" t="n">
        <v>1</v>
      </c>
      <c r="N11" s="17" t="n">
        <v>79691</v>
      </c>
      <c r="O11" s="27" t="n">
        <v>0.53</v>
      </c>
      <c r="P11" s="28" t="n">
        <f aca="false">E11*p_sup_idx*(1+p_pack)+F11*p_log_mult</f>
        <v>0.162445</v>
      </c>
      <c r="Q11" s="28" t="n">
        <f aca="false">I11*p_pf_cen</f>
        <v>0.24605</v>
      </c>
      <c r="R11" s="28" t="n">
        <f aca="false">K11*p_pf_cen</f>
        <v>0.2565</v>
      </c>
      <c r="S11" s="28" t="n">
        <f aca="false">M11*p_pf_dec</f>
        <v>0.9</v>
      </c>
      <c r="T11" s="28" t="n">
        <f aca="false">O11*p_pf_dec</f>
        <v>0.477</v>
      </c>
      <c r="U11" s="21" t="n">
        <f aca="false">IF(Q11&gt;0,1-P11/Q11,-9)</f>
        <v>0.339788660841292</v>
      </c>
      <c r="V11" s="21" t="n">
        <f aca="false">IF(R11&gt;0,1-P11/R11,-9)</f>
        <v>0.366686159844055</v>
      </c>
      <c r="W11" s="21" t="n">
        <f aca="false">IF(S11&gt;0,1-P11/S11,-9)</f>
        <v>0.819505555555556</v>
      </c>
      <c r="X11" s="21" t="n">
        <f aca="false">IF(T11&gt;0,1-P11/T11,-9)</f>
        <v>0.659444444444444</v>
      </c>
      <c r="Y11" s="29" t="n">
        <f aca="false">IF(AND($D11=1,H11&gt;0,U11&gt;=p_gm_cen),1,0)</f>
        <v>1</v>
      </c>
      <c r="Z11" s="29" t="n">
        <f aca="false">IF(AND($D11=1,J11&gt;0,V11&gt;=p_gm_cen),1,0)</f>
        <v>1</v>
      </c>
      <c r="AA11" s="29" t="n">
        <f aca="false">IF(AND($D11=1,L11&gt;0,W11&gt;=p_gm_dec),1,0)</f>
        <v>1</v>
      </c>
      <c r="AB11" s="29" t="n">
        <f aca="false">IF(AND($D11=1,N11&gt;0,X11&gt;=p_gm_dec),1,0)</f>
        <v>1</v>
      </c>
      <c r="AC11" s="15" t="n">
        <f aca="false">AA11*L11*p_mkt*S11*p_rs_succ*p_share_dec</f>
        <v>1090.584</v>
      </c>
      <c r="AD11" s="15" t="n">
        <f aca="false">AB11*N11*p_mkt*T11*p_rs_succ*p_share_dec</f>
        <v>6397.5217581</v>
      </c>
      <c r="AE11" s="15" t="n">
        <f aca="false">Y11*H11*p_mkt*Q11*p_rs_succ*p_realiz</f>
        <v>23813.7441058125</v>
      </c>
      <c r="AF11" s="15" t="n">
        <f aca="false">Z11*J11*p_mkt*R11*p_rs_succ*p_realiz</f>
        <v>26099.16228</v>
      </c>
      <c r="AG11" s="15" t="n">
        <f aca="false">IF(S11&gt;0,AC11*P11/S11,0)</f>
        <v>196.8443532</v>
      </c>
      <c r="AH11" s="15" t="n">
        <f aca="false">IF(T11&gt;0,AD11*P11/T11,0)</f>
        <v>2178.7115765085</v>
      </c>
      <c r="AI11" s="15" t="n">
        <f aca="false">IF(Q11&gt;0,AE11*P11/Q11,0)</f>
        <v>15722.1038864813</v>
      </c>
      <c r="AJ11" s="15" t="n">
        <f aca="false">IF(R11&gt;0,AF11*P11/R11,0)</f>
        <v>16528.9606884</v>
      </c>
      <c r="AK11" s="15" t="n">
        <f aca="false">AC11+AD11+AE11*p_pwin_cen+AF11*p_pwin_cen*p_minsa_occ</f>
        <v>18547.1033318438</v>
      </c>
      <c r="AL11" s="15" t="n">
        <f aca="false">(AC11-AG11)+(AD11-AH11)+(AE11-AI11)*p_pwin_cen+(AF11-AJ11)*p_pwin_cen*p_minsa_occ</f>
        <v>8975.57213293087</v>
      </c>
      <c r="AM11" s="21" t="n">
        <f aca="false">IF(P11&gt;0,E11*p_sup_idx*(1+p_pack)/P11,0)</f>
        <v>0.888762350333959</v>
      </c>
      <c r="AN11" s="15" t="n">
        <f aca="false">IF(AND(Y11=1,H11*I11*15/12&gt;70000),H11*p_mkt*Q11*p_rs_succ,0)</f>
        <v>0</v>
      </c>
    </row>
    <row r="12" customFormat="false" ht="15" hidden="false" customHeight="true" outlineLevel="0" collapsed="false">
      <c r="A12" s="10" t="s">
        <v>382</v>
      </c>
      <c r="B12" s="13" t="s">
        <v>383</v>
      </c>
      <c r="C12" s="10" t="s">
        <v>365</v>
      </c>
      <c r="D12" s="26" t="n">
        <v>1</v>
      </c>
      <c r="E12" s="27" t="n">
        <v>0.08</v>
      </c>
      <c r="F12" s="27" t="n">
        <v>0.03863</v>
      </c>
      <c r="G12" s="13" t="s">
        <v>384</v>
      </c>
      <c r="H12" s="17" t="n">
        <v>18762</v>
      </c>
      <c r="I12" s="27" t="n">
        <v>1.81</v>
      </c>
      <c r="J12" s="17" t="n">
        <v>194990</v>
      </c>
      <c r="K12" s="27" t="n">
        <v>1.86</v>
      </c>
      <c r="L12" s="17" t="n">
        <v>0</v>
      </c>
      <c r="M12" s="27" t="n">
        <v>0</v>
      </c>
      <c r="N12" s="17" t="n">
        <v>10114</v>
      </c>
      <c r="O12" s="27" t="n">
        <v>1.62</v>
      </c>
      <c r="P12" s="28" t="n">
        <f aca="false">E12*p_sup_idx*(1+p_pack)+F12*p_log_mult</f>
        <v>0.14363</v>
      </c>
      <c r="Q12" s="28" t="n">
        <f aca="false">I12*p_pf_cen</f>
        <v>1.7195</v>
      </c>
      <c r="R12" s="28" t="n">
        <f aca="false">K12*p_pf_cen</f>
        <v>1.767</v>
      </c>
      <c r="S12" s="28" t="n">
        <f aca="false">M12*p_pf_dec</f>
        <v>0</v>
      </c>
      <c r="T12" s="28" t="n">
        <f aca="false">O12*p_pf_dec</f>
        <v>1.458</v>
      </c>
      <c r="U12" s="21" t="n">
        <f aca="false">IF(Q12&gt;0,1-P12/Q12,-9)</f>
        <v>0.916469904041873</v>
      </c>
      <c r="V12" s="21" t="n">
        <f aca="false">IF(R12&gt;0,1-P12/R12,-9)</f>
        <v>0.918715336728919</v>
      </c>
      <c r="W12" s="21" t="n">
        <f aca="false">IF(S12&gt;0,1-P12/S12,-9)</f>
        <v>-9</v>
      </c>
      <c r="X12" s="21" t="n">
        <f aca="false">IF(T12&gt;0,1-P12/T12,-9)</f>
        <v>0.901488340192044</v>
      </c>
      <c r="Y12" s="29" t="n">
        <f aca="false">IF(AND($D12=1,H12&gt;0,U12&gt;=p_gm_cen),1,0)</f>
        <v>1</v>
      </c>
      <c r="Z12" s="29" t="n">
        <f aca="false">IF(AND($D12=1,J12&gt;0,V12&gt;=p_gm_cen),1,0)</f>
        <v>1</v>
      </c>
      <c r="AA12" s="29" t="n">
        <f aca="false">IF(AND($D12=1,L12&gt;0,W12&gt;=p_gm_dec),1,0)</f>
        <v>0</v>
      </c>
      <c r="AB12" s="29" t="n">
        <f aca="false">IF(AND($D12=1,N12&gt;0,X12&gt;=p_gm_dec),1,0)</f>
        <v>1</v>
      </c>
      <c r="AC12" s="15" t="n">
        <f aca="false">AA12*L12*p_mkt*S12*p_rs_succ*p_share_dec</f>
        <v>0</v>
      </c>
      <c r="AD12" s="15" t="n">
        <f aca="false">AB12*N12*p_mkt*T12*p_rs_succ*p_share_dec</f>
        <v>2481.7874796</v>
      </c>
      <c r="AE12" s="15" t="n">
        <f aca="false">Y12*H12*p_mkt*Q12*p_rs_succ*p_realiz</f>
        <v>18509.89735125</v>
      </c>
      <c r="AF12" s="15" t="n">
        <f aca="false">Z12*J12*p_mkt*R12*p_rs_succ*p_realiz</f>
        <v>197684.0305875</v>
      </c>
      <c r="AG12" s="15" t="n">
        <f aca="false">IF(S12&gt;0,AC12*P12/S12,0)</f>
        <v>0</v>
      </c>
      <c r="AH12" s="15" t="n">
        <f aca="false">IF(T12&gt;0,AD12*P12/T12,0)</f>
        <v>244.485003906</v>
      </c>
      <c r="AI12" s="15" t="n">
        <f aca="false">IF(Q12&gt;0,AE12*P12/Q12,0)</f>
        <v>1546.133501925</v>
      </c>
      <c r="AJ12" s="15" t="n">
        <f aca="false">IF(R12&gt;0,AF12*P12/R12,0)</f>
        <v>16068.679860375</v>
      </c>
      <c r="AK12" s="15" t="n">
        <f aca="false">AC12+AD12+AE12*p_pwin_cen+AF12*p_pwin_cen*p_minsa_occ</f>
        <v>37687.3612731</v>
      </c>
      <c r="AL12" s="15" t="n">
        <f aca="false">(AC12-AG12)+(AD12-AH12)+(AE12-AI12)*p_pwin_cen+(AF12-AJ12)*p_pwin_cen*p_minsa_occ</f>
        <v>34568.7342395602</v>
      </c>
      <c r="AM12" s="21" t="n">
        <f aca="false">IF(P12&gt;0,E12*p_sup_idx*(1+p_pack)/P12,0)</f>
        <v>0.73104504629952</v>
      </c>
      <c r="AN12" s="15" t="n">
        <f aca="false">IF(AND(Y12=1,H12*I12*15/12&gt;70000),H12*p_mkt*Q12*p_rs_succ,0)</f>
        <v>0</v>
      </c>
    </row>
    <row r="13" customFormat="false" ht="15" hidden="false" customHeight="true" outlineLevel="0" collapsed="false">
      <c r="A13" s="10" t="s">
        <v>385</v>
      </c>
      <c r="B13" s="13" t="s">
        <v>386</v>
      </c>
      <c r="C13" s="10" t="s">
        <v>365</v>
      </c>
      <c r="D13" s="26" t="n">
        <v>1</v>
      </c>
      <c r="E13" s="27" t="n">
        <v>0.008</v>
      </c>
      <c r="F13" s="27" t="n">
        <v>0.0015</v>
      </c>
      <c r="G13" s="13" t="s">
        <v>381</v>
      </c>
      <c r="H13" s="17" t="n">
        <v>188514</v>
      </c>
      <c r="I13" s="27" t="n">
        <v>0.13</v>
      </c>
      <c r="J13" s="17" t="n">
        <v>179270</v>
      </c>
      <c r="K13" s="27" t="n">
        <v>0.13</v>
      </c>
      <c r="L13" s="17" t="n">
        <v>13714</v>
      </c>
      <c r="M13" s="27" t="n">
        <v>0.22</v>
      </c>
      <c r="N13" s="17" t="n">
        <v>1714</v>
      </c>
      <c r="O13" s="27" t="n">
        <v>0.164</v>
      </c>
      <c r="P13" s="28" t="n">
        <f aca="false">E13*p_sup_idx*(1+p_pack)+F13*p_log_mult</f>
        <v>0.012</v>
      </c>
      <c r="Q13" s="28" t="n">
        <f aca="false">I13*p_pf_cen</f>
        <v>0.1235</v>
      </c>
      <c r="R13" s="28" t="n">
        <f aca="false">K13*p_pf_cen</f>
        <v>0.1235</v>
      </c>
      <c r="S13" s="28" t="n">
        <f aca="false">M13*p_pf_dec</f>
        <v>0.198</v>
      </c>
      <c r="T13" s="28" t="n">
        <f aca="false">O13*p_pf_dec</f>
        <v>0.1476</v>
      </c>
      <c r="U13" s="21" t="n">
        <f aca="false">IF(Q13&gt;0,1-P13/Q13,-9)</f>
        <v>0.902834008097166</v>
      </c>
      <c r="V13" s="21" t="n">
        <f aca="false">IF(R13&gt;0,1-P13/R13,-9)</f>
        <v>0.902834008097166</v>
      </c>
      <c r="W13" s="21" t="n">
        <f aca="false">IF(S13&gt;0,1-P13/S13,-9)</f>
        <v>0.939393939393939</v>
      </c>
      <c r="X13" s="21" t="n">
        <f aca="false">IF(T13&gt;0,1-P13/T13,-9)</f>
        <v>0.91869918699187</v>
      </c>
      <c r="Y13" s="29" t="n">
        <f aca="false">IF(AND($D13=1,H13&gt;0,U13&gt;=p_gm_cen),1,0)</f>
        <v>1</v>
      </c>
      <c r="Z13" s="29" t="n">
        <f aca="false">IF(AND($D13=1,J13&gt;0,V13&gt;=p_gm_cen),1,0)</f>
        <v>1</v>
      </c>
      <c r="AA13" s="29" t="n">
        <f aca="false">IF(AND($D13=1,L13&gt;0,W13&gt;=p_gm_dec),1,0)</f>
        <v>1</v>
      </c>
      <c r="AB13" s="29" t="n">
        <f aca="false">IF(AND($D13=1,N13&gt;0,X13&gt;=p_gm_dec),1,0)</f>
        <v>1</v>
      </c>
      <c r="AC13" s="15" t="n">
        <f aca="false">AA13*L13*p_mkt*S13*p_rs_succ*p_share_dec</f>
        <v>456.9971076</v>
      </c>
      <c r="AD13" s="15" t="n">
        <f aca="false">AB13*N13*p_mkt*T13*p_rs_succ*p_share_dec</f>
        <v>42.57761112</v>
      </c>
      <c r="AE13" s="15" t="n">
        <f aca="false">Y13*H13*p_mkt*Q13*p_rs_succ*p_realiz</f>
        <v>13357.74857625</v>
      </c>
      <c r="AF13" s="15" t="n">
        <f aca="false">Z13*J13*p_mkt*R13*p_rs_succ*p_realiz</f>
        <v>12702.73606875</v>
      </c>
      <c r="AG13" s="15" t="n">
        <f aca="false">IF(S13&gt;0,AC13*P13/S13,0)</f>
        <v>27.6967944</v>
      </c>
      <c r="AH13" s="15" t="n">
        <f aca="false">IF(T13&gt;0,AD13*P13/T13,0)</f>
        <v>3.4615944</v>
      </c>
      <c r="AI13" s="15" t="n">
        <f aca="false">IF(Q13&gt;0,AE13*P13/Q13,0)</f>
        <v>1297.91889</v>
      </c>
      <c r="AJ13" s="15" t="n">
        <f aca="false">IF(R13&gt;0,AF13*P13/R13,0)</f>
        <v>1234.27395</v>
      </c>
      <c r="AK13" s="15" t="n">
        <f aca="false">AC13+AD13+AE13*p_pwin_cen+AF13*p_pwin_cen*p_minsa_occ</f>
        <v>6412.3097019075</v>
      </c>
      <c r="AL13" s="15" t="n">
        <f aca="false">(AC13-AG13)+(AD13-AH13)+(AE13-AI13)*p_pwin_cen+(AF13-AJ13)*p_pwin_cen*p_minsa_occ</f>
        <v>5806.6345536075</v>
      </c>
      <c r="AM13" s="21" t="n">
        <f aca="false">IF(P13&gt;0,E13*p_sup_idx*(1+p_pack)/P13,0)</f>
        <v>0.875</v>
      </c>
      <c r="AN13" s="15" t="n">
        <f aca="false">IF(AND(Y13=1,H13*I13*15/12&gt;70000),H13*p_mkt*Q13*p_rs_succ,0)</f>
        <v>0</v>
      </c>
    </row>
    <row r="14" customFormat="false" ht="23.25" hidden="false" customHeight="true" outlineLevel="0" collapsed="false">
      <c r="A14" s="10" t="s">
        <v>387</v>
      </c>
      <c r="B14" s="13" t="s">
        <v>388</v>
      </c>
      <c r="C14" s="10" t="s">
        <v>365</v>
      </c>
      <c r="D14" s="26" t="n">
        <v>1</v>
      </c>
      <c r="E14" s="27" t="n">
        <v>0.4</v>
      </c>
      <c r="F14" s="27" t="n">
        <v>0.05903</v>
      </c>
      <c r="G14" s="13" t="s">
        <v>389</v>
      </c>
      <c r="H14" s="17" t="n">
        <v>14898</v>
      </c>
      <c r="I14" s="27" t="n">
        <v>3.18</v>
      </c>
      <c r="J14" s="17" t="n">
        <v>18119</v>
      </c>
      <c r="K14" s="27" t="n">
        <v>3.39</v>
      </c>
      <c r="L14" s="17" t="n">
        <v>0</v>
      </c>
      <c r="M14" s="27" t="n">
        <v>0</v>
      </c>
      <c r="N14" s="17" t="n">
        <v>1856</v>
      </c>
      <c r="O14" s="27" t="n">
        <v>3.18</v>
      </c>
      <c r="P14" s="28" t="n">
        <f aca="false">E14*p_sup_idx*(1+p_pack)+F14*p_log_mult</f>
        <v>0.58403</v>
      </c>
      <c r="Q14" s="28" t="n">
        <f aca="false">I14*p_pf_cen</f>
        <v>3.021</v>
      </c>
      <c r="R14" s="28" t="n">
        <f aca="false">K14*p_pf_cen</f>
        <v>3.2205</v>
      </c>
      <c r="S14" s="28" t="n">
        <f aca="false">M14*p_pf_dec</f>
        <v>0</v>
      </c>
      <c r="T14" s="28" t="n">
        <f aca="false">O14*p_pf_dec</f>
        <v>2.862</v>
      </c>
      <c r="U14" s="21" t="n">
        <f aca="false">IF(Q14&gt;0,1-P14/Q14,-9)</f>
        <v>0.806676597153261</v>
      </c>
      <c r="V14" s="21" t="n">
        <f aca="false">IF(R14&gt;0,1-P14/R14,-9)</f>
        <v>0.818652383170315</v>
      </c>
      <c r="W14" s="21" t="n">
        <f aca="false">IF(S14&gt;0,1-P14/S14,-9)</f>
        <v>-9</v>
      </c>
      <c r="X14" s="21" t="n">
        <f aca="false">IF(T14&gt;0,1-P14/T14,-9)</f>
        <v>0.79593640810622</v>
      </c>
      <c r="Y14" s="29" t="n">
        <f aca="false">IF(AND($D14=1,H14&gt;0,U14&gt;=p_gm_cen),1,0)</f>
        <v>1</v>
      </c>
      <c r="Z14" s="29" t="n">
        <f aca="false">IF(AND($D14=1,J14&gt;0,V14&gt;=p_gm_cen),1,0)</f>
        <v>1</v>
      </c>
      <c r="AA14" s="29" t="n">
        <f aca="false">IF(AND($D14=1,L14&gt;0,W14&gt;=p_gm_dec),1,0)</f>
        <v>0</v>
      </c>
      <c r="AB14" s="29" t="n">
        <f aca="false">IF(AND($D14=1,N14&gt;0,X14&gt;=p_gm_dec),1,0)</f>
        <v>1</v>
      </c>
      <c r="AC14" s="15" t="n">
        <f aca="false">AA14*L14*p_mkt*S14*p_rs_succ*p_share_dec</f>
        <v>0</v>
      </c>
      <c r="AD14" s="15" t="n">
        <f aca="false">AB14*N14*p_mkt*T14*p_rs_succ*p_share_dec</f>
        <v>893.9880576</v>
      </c>
      <c r="AE14" s="15" t="n">
        <f aca="false">Y14*H14*p_mkt*Q14*p_rs_succ*p_realiz</f>
        <v>25822.6847775</v>
      </c>
      <c r="AF14" s="15" t="n">
        <f aca="false">Z14*J14*p_mkt*R14*p_rs_succ*p_realiz</f>
        <v>33479.597413125</v>
      </c>
      <c r="AG14" s="15" t="n">
        <f aca="false">IF(S14&gt;0,AC14*P14/S14,0)</f>
        <v>0</v>
      </c>
      <c r="AH14" s="15" t="n">
        <f aca="false">IF(T14&gt;0,AD14*P14/T14,0)</f>
        <v>182.430414144</v>
      </c>
      <c r="AI14" s="15" t="n">
        <f aca="false">IF(Q14&gt;0,AE14*P14/Q14,0)</f>
        <v>4992.129291825</v>
      </c>
      <c r="AJ14" s="15" t="n">
        <f aca="false">IF(R14&gt;0,AF14*P14/R14,0)</f>
        <v>6071.4452032875</v>
      </c>
      <c r="AK14" s="15" t="n">
        <f aca="false">AC14+AD14+AE14*p_pwin_cen+AF14*p_pwin_cen*p_minsa_occ</f>
        <v>13662.7331028187</v>
      </c>
      <c r="AL14" s="15" t="n">
        <f aca="false">(AC14-AG14)+(AD14-AH14)+(AE14-AI14)*p_pwin_cen+(AF14-AJ14)*p_pwin_cen*p_minsa_occ</f>
        <v>11071.9471206341</v>
      </c>
      <c r="AM14" s="21" t="n">
        <f aca="false">IF(P14&gt;0,E14*p_sup_idx*(1+p_pack)/P14,0)</f>
        <v>0.898926425012414</v>
      </c>
      <c r="AN14" s="15" t="n">
        <f aca="false">IF(AND(Y14=1,H14*I14*15/12&gt;70000),H14*p_mkt*Q14*p_rs_succ,0)</f>
        <v>0</v>
      </c>
    </row>
    <row r="15" customFormat="false" ht="23.25" hidden="false" customHeight="true" outlineLevel="0" collapsed="false">
      <c r="A15" s="10" t="s">
        <v>390</v>
      </c>
      <c r="B15" s="13" t="s">
        <v>391</v>
      </c>
      <c r="C15" s="10" t="s">
        <v>365</v>
      </c>
      <c r="D15" s="26" t="n">
        <v>1</v>
      </c>
      <c r="E15" s="27" t="n">
        <v>0.16</v>
      </c>
      <c r="F15" s="27" t="n">
        <v>0.04923</v>
      </c>
      <c r="G15" s="13" t="s">
        <v>392</v>
      </c>
      <c r="H15" s="17" t="n">
        <v>89267</v>
      </c>
      <c r="I15" s="27" t="n">
        <v>0.555</v>
      </c>
      <c r="J15" s="17" t="n">
        <v>44276</v>
      </c>
      <c r="K15" s="27" t="n">
        <v>0.58</v>
      </c>
      <c r="L15" s="17" t="n">
        <v>634</v>
      </c>
      <c r="M15" s="27" t="n">
        <v>2.5</v>
      </c>
      <c r="N15" s="17" t="n">
        <v>1564</v>
      </c>
      <c r="O15" s="27" t="n">
        <v>1.875</v>
      </c>
      <c r="P15" s="28" t="n">
        <f aca="false">E15*p_sup_idx*(1+p_pack)+F15*p_log_mult</f>
        <v>0.25923</v>
      </c>
      <c r="Q15" s="28" t="n">
        <f aca="false">I15*p_pf_cen</f>
        <v>0.52725</v>
      </c>
      <c r="R15" s="28" t="n">
        <f aca="false">K15*p_pf_cen</f>
        <v>0.551</v>
      </c>
      <c r="S15" s="28" t="n">
        <f aca="false">M15*p_pf_dec</f>
        <v>2.25</v>
      </c>
      <c r="T15" s="28" t="n">
        <f aca="false">O15*p_pf_dec</f>
        <v>1.6875</v>
      </c>
      <c r="U15" s="21" t="n">
        <f aca="false">IF(Q15&gt;0,1-P15/Q15,-9)</f>
        <v>0.508335704125178</v>
      </c>
      <c r="V15" s="21" t="n">
        <f aca="false">IF(R15&gt;0,1-P15/R15,-9)</f>
        <v>0.529528130671506</v>
      </c>
      <c r="W15" s="21" t="n">
        <f aca="false">IF(S15&gt;0,1-P15/S15,-9)</f>
        <v>0.884786666666667</v>
      </c>
      <c r="X15" s="21" t="n">
        <f aca="false">IF(T15&gt;0,1-P15/T15,-9)</f>
        <v>0.846382222222222</v>
      </c>
      <c r="Y15" s="29" t="n">
        <f aca="false">IF(AND($D15=1,H15&gt;0,U15&gt;=p_gm_cen),1,0)</f>
        <v>1</v>
      </c>
      <c r="Z15" s="29" t="n">
        <f aca="false">IF(AND($D15=1,J15&gt;0,V15&gt;=p_gm_cen),1,0)</f>
        <v>1</v>
      </c>
      <c r="AA15" s="29" t="n">
        <f aca="false">IF(AND($D15=1,L15&gt;0,W15&gt;=p_gm_dec),1,0)</f>
        <v>1</v>
      </c>
      <c r="AB15" s="29" t="n">
        <f aca="false">IF(AND($D15=1,N15&gt;0,X15&gt;=p_gm_dec),1,0)</f>
        <v>1</v>
      </c>
      <c r="AC15" s="15" t="n">
        <f aca="false">AA15*L15*p_mkt*S15*p_rs_succ*p_share_dec</f>
        <v>240.07995</v>
      </c>
      <c r="AD15" s="15" t="n">
        <f aca="false">AB15*N15*p_mkt*T15*p_rs_succ*p_share_dec</f>
        <v>444.185775</v>
      </c>
      <c r="AE15" s="15" t="n">
        <f aca="false">Y15*H15*p_mkt*Q15*p_rs_succ*p_realiz</f>
        <v>27004.1322740625</v>
      </c>
      <c r="AF15" s="15" t="n">
        <f aca="false">Z15*J15*p_mkt*R15*p_rs_succ*p_realiz</f>
        <v>13997.248605</v>
      </c>
      <c r="AG15" s="15" t="n">
        <f aca="false">IF(S15&gt;0,AC15*P15/S15,0)</f>
        <v>27.660411306</v>
      </c>
      <c r="AH15" s="15" t="n">
        <f aca="false">IF(T15&gt;0,AD15*P15/T15,0)</f>
        <v>68.234831676</v>
      </c>
      <c r="AI15" s="15" t="n">
        <f aca="false">IF(Q15&gt;0,AE15*P15/Q15,0)</f>
        <v>13276.9676802375</v>
      </c>
      <c r="AJ15" s="15" t="n">
        <f aca="false">IF(R15&gt;0,AF15*P15/R15,0)</f>
        <v>6585.31171665</v>
      </c>
      <c r="AK15" s="15" t="n">
        <f aca="false">AC15+AD15+AE15*p_pwin_cen+AF15*p_pwin_cen*p_minsa_occ</f>
        <v>10885.0926979687</v>
      </c>
      <c r="AL15" s="15" t="n">
        <f aca="false">(AC15-AG15)+(AD15-AH15)+(AE15-AI15)*p_pwin_cen+(AF15-AJ15)*p_pwin_cen*p_minsa_occ</f>
        <v>5818.310393418</v>
      </c>
      <c r="AM15" s="21" t="n">
        <f aca="false">IF(P15&gt;0,E15*p_sup_idx*(1+p_pack)/P15,0)</f>
        <v>0.810091424603634</v>
      </c>
      <c r="AN15" s="15" t="n">
        <f aca="false">IF(AND(Y15=1,H15*I15*15/12&gt;70000),H15*p_mkt*Q15*p_rs_succ,0)</f>
        <v>0</v>
      </c>
    </row>
    <row r="16" customFormat="false" ht="23.25" hidden="false" customHeight="true" outlineLevel="0" collapsed="false">
      <c r="A16" s="10" t="s">
        <v>393</v>
      </c>
      <c r="B16" s="13" t="s">
        <v>394</v>
      </c>
      <c r="C16" s="10" t="s">
        <v>365</v>
      </c>
      <c r="D16" s="26" t="n">
        <v>1</v>
      </c>
      <c r="E16" s="27" t="n">
        <v>0.097</v>
      </c>
      <c r="F16" s="27" t="n">
        <v>0.04923</v>
      </c>
      <c r="G16" s="13" t="s">
        <v>395</v>
      </c>
      <c r="H16" s="17" t="n">
        <v>65534</v>
      </c>
      <c r="I16" s="27" t="n">
        <v>1.02</v>
      </c>
      <c r="J16" s="17" t="n">
        <v>34482</v>
      </c>
      <c r="K16" s="27" t="n">
        <v>0.65</v>
      </c>
      <c r="L16" s="17" t="n">
        <v>1840</v>
      </c>
      <c r="M16" s="27" t="n">
        <v>4.79</v>
      </c>
      <c r="N16" s="17" t="n">
        <v>343</v>
      </c>
      <c r="O16" s="27" t="n">
        <v>3.66</v>
      </c>
      <c r="P16" s="28" t="n">
        <f aca="false">E16*p_sup_idx*(1+p_pack)+F16*p_log_mult</f>
        <v>0.1765425</v>
      </c>
      <c r="Q16" s="28" t="n">
        <f aca="false">I16*p_pf_cen</f>
        <v>0.969</v>
      </c>
      <c r="R16" s="28" t="n">
        <f aca="false">K16*p_pf_cen</f>
        <v>0.6175</v>
      </c>
      <c r="S16" s="28" t="n">
        <f aca="false">M16*p_pf_dec</f>
        <v>4.311</v>
      </c>
      <c r="T16" s="28" t="n">
        <f aca="false">O16*p_pf_dec</f>
        <v>3.294</v>
      </c>
      <c r="U16" s="21" t="n">
        <f aca="false">IF(Q16&gt;0,1-P16/Q16,-9)</f>
        <v>0.81780959752322</v>
      </c>
      <c r="V16" s="21" t="n">
        <f aca="false">IF(R16&gt;0,1-P16/R16,-9)</f>
        <v>0.714101214574899</v>
      </c>
      <c r="W16" s="21" t="n">
        <f aca="false">IF(S16&gt;0,1-P16/S16,-9)</f>
        <v>0.959048364648574</v>
      </c>
      <c r="X16" s="21" t="n">
        <f aca="false">IF(T16&gt;0,1-P16/T16,-9)</f>
        <v>0.946404826958106</v>
      </c>
      <c r="Y16" s="29" t="n">
        <f aca="false">IF(AND($D16=1,H16&gt;0,U16&gt;=p_gm_cen),1,0)</f>
        <v>1</v>
      </c>
      <c r="Z16" s="29" t="n">
        <f aca="false">IF(AND($D16=1,J16&gt;0,V16&gt;=p_gm_cen),1,0)</f>
        <v>1</v>
      </c>
      <c r="AA16" s="29" t="n">
        <f aca="false">IF(AND($D16=1,L16&gt;0,W16&gt;=p_gm_dec),1,0)</f>
        <v>1</v>
      </c>
      <c r="AB16" s="29" t="n">
        <f aca="false">IF(AND($D16=1,N16&gt;0,X16&gt;=p_gm_dec),1,0)</f>
        <v>1</v>
      </c>
      <c r="AC16" s="15" t="n">
        <f aca="false">AA16*L16*p_mkt*S16*p_rs_succ*p_share_dec</f>
        <v>1334.995992</v>
      </c>
      <c r="AD16" s="15" t="n">
        <f aca="false">AB16*N16*p_mkt*T16*p_rs_succ*p_share_dec</f>
        <v>190.1524086</v>
      </c>
      <c r="AE16" s="15" t="n">
        <f aca="false">Y16*H16*p_mkt*Q16*p_rs_succ*p_realiz</f>
        <v>36434.5283925</v>
      </c>
      <c r="AF16" s="15" t="n">
        <f aca="false">Z16*J16*p_mkt*R16*p_rs_succ*p_realiz</f>
        <v>12216.64933125</v>
      </c>
      <c r="AG16" s="15" t="n">
        <f aca="false">IF(S16&gt;0,AC16*P16/S16,0)</f>
        <v>54.67026906</v>
      </c>
      <c r="AH16" s="15" t="n">
        <f aca="false">IF(T16&gt;0,AD16*P16/T16,0)</f>
        <v>10.19125124325</v>
      </c>
      <c r="AI16" s="15" t="n">
        <f aca="false">IF(Q16&gt;0,AE16*P16/Q16,0)</f>
        <v>6638.02139188125</v>
      </c>
      <c r="AJ16" s="15" t="n">
        <f aca="false">IF(R16&gt;0,AF16*P16/R16,0)</f>
        <v>3492.72520576875</v>
      </c>
      <c r="AK16" s="15" t="n">
        <f aca="false">AC16+AD16+AE16*p_pwin_cen+AF16*p_pwin_cen*p_minsa_occ</f>
        <v>14288.0043180375</v>
      </c>
      <c r="AL16" s="15" t="n">
        <f aca="false">(AC16-AG16)+(AD16-AH16)+(AE16-AI16)*p_pwin_cen+(AF16-AJ16)*p_pwin_cen*p_minsa_occ</f>
        <v>11707.8275993046</v>
      </c>
      <c r="AM16" s="21" t="n">
        <f aca="false">IF(P16&gt;0,E16*p_sup_idx*(1+p_pack)/P16,0)</f>
        <v>0.721143633969158</v>
      </c>
      <c r="AN16" s="15" t="n">
        <f aca="false">IF(AND(Y16=1,H16*I16*15/12&gt;70000),H16*p_mkt*Q16*p_rs_succ,0)</f>
        <v>48579.37119</v>
      </c>
    </row>
    <row r="17" customFormat="false" ht="23.25" hidden="false" customHeight="true" outlineLevel="0" collapsed="false">
      <c r="A17" s="10" t="s">
        <v>396</v>
      </c>
      <c r="B17" s="13" t="s">
        <v>397</v>
      </c>
      <c r="C17" s="10" t="s">
        <v>398</v>
      </c>
      <c r="D17" s="26" t="n">
        <v>0</v>
      </c>
      <c r="E17" s="27" t="n">
        <v>0.0039</v>
      </c>
      <c r="F17" s="27" t="n">
        <v>0.0015</v>
      </c>
      <c r="G17" s="13" t="s">
        <v>399</v>
      </c>
      <c r="H17" s="17" t="n">
        <v>325776</v>
      </c>
      <c r="I17" s="27" t="n">
        <v>0.12</v>
      </c>
      <c r="J17" s="17" t="n">
        <v>152808</v>
      </c>
      <c r="K17" s="27" t="n">
        <v>0.12</v>
      </c>
      <c r="L17" s="17" t="n">
        <v>0</v>
      </c>
      <c r="M17" s="27" t="n">
        <v>0</v>
      </c>
      <c r="N17" s="17" t="n">
        <v>0</v>
      </c>
      <c r="O17" s="27" t="n">
        <v>0</v>
      </c>
      <c r="P17" s="28" t="n">
        <f aca="false">E17*p_sup_idx*(1+p_pack)+F17*p_log_mult</f>
        <v>0.00661875</v>
      </c>
      <c r="Q17" s="28" t="n">
        <f aca="false">I17*p_pf_cen</f>
        <v>0.114</v>
      </c>
      <c r="R17" s="28" t="n">
        <f aca="false">K17*p_pf_cen</f>
        <v>0.114</v>
      </c>
      <c r="S17" s="28" t="n">
        <f aca="false">M17*p_pf_dec</f>
        <v>0</v>
      </c>
      <c r="T17" s="28" t="n">
        <f aca="false">O17*p_pf_dec</f>
        <v>0</v>
      </c>
      <c r="U17" s="21" t="n">
        <f aca="false">IF(Q17&gt;0,1-P17/Q17,-9)</f>
        <v>0.941940789473684</v>
      </c>
      <c r="V17" s="21" t="n">
        <f aca="false">IF(R17&gt;0,1-P17/R17,-9)</f>
        <v>0.941940789473684</v>
      </c>
      <c r="W17" s="21" t="n">
        <f aca="false">IF(S17&gt;0,1-P17/S17,-9)</f>
        <v>-9</v>
      </c>
      <c r="X17" s="21" t="n">
        <f aca="false">IF(T17&gt;0,1-P17/T17,-9)</f>
        <v>-9</v>
      </c>
      <c r="Y17" s="29" t="n">
        <f aca="false">IF(AND($D17=1,H17&gt;0,U17&gt;=p_gm_cen),1,0)</f>
        <v>0</v>
      </c>
      <c r="Z17" s="29" t="n">
        <f aca="false">IF(AND($D17=1,J17&gt;0,V17&gt;=p_gm_cen),1,0)</f>
        <v>0</v>
      </c>
      <c r="AA17" s="29" t="n">
        <f aca="false">IF(AND($D17=1,L17&gt;0,W17&gt;=p_gm_dec),1,0)</f>
        <v>0</v>
      </c>
      <c r="AB17" s="29" t="n">
        <f aca="false">IF(AND($D17=1,N17&gt;0,X17&gt;=p_gm_dec),1,0)</f>
        <v>0</v>
      </c>
      <c r="AC17" s="15" t="n">
        <f aca="false">AA17*L17*p_mkt*S17*p_rs_succ*p_share_dec</f>
        <v>0</v>
      </c>
      <c r="AD17" s="15" t="n">
        <f aca="false">AB17*N17*p_mkt*T17*p_rs_succ*p_share_dec</f>
        <v>0</v>
      </c>
      <c r="AE17" s="15" t="n">
        <f aca="false">Y17*H17*p_mkt*Q17*p_rs_succ*p_realiz</f>
        <v>0</v>
      </c>
      <c r="AF17" s="15" t="n">
        <f aca="false">Z17*J17*p_mkt*R17*p_rs_succ*p_realiz</f>
        <v>0</v>
      </c>
      <c r="AG17" s="15" t="n">
        <f aca="false">IF(S17&gt;0,AC17*P17/S17,0)</f>
        <v>0</v>
      </c>
      <c r="AH17" s="15" t="n">
        <f aca="false">IF(T17&gt;0,AD17*P17/T17,0)</f>
        <v>0</v>
      </c>
      <c r="AI17" s="15" t="n">
        <f aca="false">IF(Q17&gt;0,AE17*P17/Q17,0)</f>
        <v>0</v>
      </c>
      <c r="AJ17" s="15" t="n">
        <f aca="false">IF(R17&gt;0,AF17*P17/R17,0)</f>
        <v>0</v>
      </c>
      <c r="AK17" s="15" t="n">
        <f aca="false">AC17+AD17+AE17*p_pwin_cen+AF17*p_pwin_cen*p_minsa_occ</f>
        <v>0</v>
      </c>
      <c r="AL17" s="15" t="n">
        <f aca="false">(AC17-AG17)+(AD17-AH17)+(AE17-AI17)*p_pwin_cen+(AF17-AJ17)*p_pwin_cen*p_minsa_occ</f>
        <v>0</v>
      </c>
      <c r="AM17" s="21" t="n">
        <f aca="false">IF(P17&gt;0,E17*p_sup_idx*(1+p_pack)/P17,0)</f>
        <v>0.773371104815864</v>
      </c>
      <c r="AN17" s="15" t="n">
        <f aca="false">IF(AND(Y17=1,H17*I17*15/12&gt;70000),H17*p_mkt*Q17*p_rs_succ,0)</f>
        <v>0</v>
      </c>
    </row>
    <row r="18" customFormat="false" ht="15" hidden="false" customHeight="true" outlineLevel="0" collapsed="false">
      <c r="A18" s="10" t="s">
        <v>400</v>
      </c>
      <c r="B18" s="13" t="s">
        <v>401</v>
      </c>
      <c r="C18" s="10" t="s">
        <v>398</v>
      </c>
      <c r="D18" s="26" t="n">
        <v>0</v>
      </c>
      <c r="E18" s="27" t="n">
        <v>0.0037</v>
      </c>
      <c r="F18" s="27" t="n">
        <v>0.00149</v>
      </c>
      <c r="G18" s="13" t="s">
        <v>402</v>
      </c>
      <c r="H18" s="17" t="n">
        <v>1953204</v>
      </c>
      <c r="I18" s="27" t="n">
        <v>0.027</v>
      </c>
      <c r="J18" s="17" t="n">
        <v>0</v>
      </c>
      <c r="K18" s="27" t="n">
        <v>0</v>
      </c>
      <c r="L18" s="17" t="n">
        <v>0</v>
      </c>
      <c r="M18" s="27" t="n">
        <v>0</v>
      </c>
      <c r="N18" s="17" t="n">
        <v>3086</v>
      </c>
      <c r="O18" s="27" t="n">
        <v>0.4</v>
      </c>
      <c r="P18" s="28" t="n">
        <f aca="false">E18*p_sup_idx*(1+p_pack)+F18*p_log_mult</f>
        <v>0.00634625</v>
      </c>
      <c r="Q18" s="28" t="n">
        <f aca="false">I18*p_pf_cen</f>
        <v>0.02565</v>
      </c>
      <c r="R18" s="28" t="n">
        <f aca="false">K18*p_pf_cen</f>
        <v>0</v>
      </c>
      <c r="S18" s="28" t="n">
        <f aca="false">M18*p_pf_dec</f>
        <v>0</v>
      </c>
      <c r="T18" s="28" t="n">
        <f aca="false">O18*p_pf_dec</f>
        <v>0.36</v>
      </c>
      <c r="U18" s="21" t="n">
        <f aca="false">IF(Q18&gt;0,1-P18/Q18,-9)</f>
        <v>0.752582846003899</v>
      </c>
      <c r="V18" s="21" t="n">
        <f aca="false">IF(R18&gt;0,1-P18/R18,-9)</f>
        <v>-9</v>
      </c>
      <c r="W18" s="21" t="n">
        <f aca="false">IF(S18&gt;0,1-P18/S18,-9)</f>
        <v>-9</v>
      </c>
      <c r="X18" s="21" t="n">
        <f aca="false">IF(T18&gt;0,1-P18/T18,-9)</f>
        <v>0.982371527777778</v>
      </c>
      <c r="Y18" s="29" t="n">
        <f aca="false">IF(AND($D18=1,H18&gt;0,U18&gt;=p_gm_cen),1,0)</f>
        <v>0</v>
      </c>
      <c r="Z18" s="29" t="n">
        <f aca="false">IF(AND($D18=1,J18&gt;0,V18&gt;=p_gm_cen),1,0)</f>
        <v>0</v>
      </c>
      <c r="AA18" s="29" t="n">
        <f aca="false">IF(AND($D18=1,L18&gt;0,W18&gt;=p_gm_dec),1,0)</f>
        <v>0</v>
      </c>
      <c r="AB18" s="29" t="n">
        <f aca="false">IF(AND($D18=1,N18&gt;0,X18&gt;=p_gm_dec),1,0)</f>
        <v>0</v>
      </c>
      <c r="AC18" s="15" t="n">
        <f aca="false">AA18*L18*p_mkt*S18*p_rs_succ*p_share_dec</f>
        <v>0</v>
      </c>
      <c r="AD18" s="15" t="n">
        <f aca="false">AB18*N18*p_mkt*T18*p_rs_succ*p_share_dec</f>
        <v>0</v>
      </c>
      <c r="AE18" s="15" t="n">
        <f aca="false">Y18*H18*p_mkt*Q18*p_rs_succ*p_realiz</f>
        <v>0</v>
      </c>
      <c r="AF18" s="15" t="n">
        <f aca="false">Z18*J18*p_mkt*R18*p_rs_succ*p_realiz</f>
        <v>0</v>
      </c>
      <c r="AG18" s="15" t="n">
        <f aca="false">IF(S18&gt;0,AC18*P18/S18,0)</f>
        <v>0</v>
      </c>
      <c r="AH18" s="15" t="n">
        <f aca="false">IF(T18&gt;0,AD18*P18/T18,0)</f>
        <v>0</v>
      </c>
      <c r="AI18" s="15" t="n">
        <f aca="false">IF(Q18&gt;0,AE18*P18/Q18,0)</f>
        <v>0</v>
      </c>
      <c r="AJ18" s="15" t="n">
        <f aca="false">IF(R18&gt;0,AF18*P18/R18,0)</f>
        <v>0</v>
      </c>
      <c r="AK18" s="15" t="n">
        <f aca="false">AC18+AD18+AE18*p_pwin_cen+AF18*p_pwin_cen*p_minsa_occ</f>
        <v>0</v>
      </c>
      <c r="AL18" s="15" t="n">
        <f aca="false">(AC18-AG18)+(AD18-AH18)+(AE18-AI18)*p_pwin_cen+(AF18-AJ18)*p_pwin_cen*p_minsa_occ</f>
        <v>0</v>
      </c>
      <c r="AM18" s="21" t="n">
        <f aca="false">IF(P18&gt;0,E18*p_sup_idx*(1+p_pack)/P18,0)</f>
        <v>0.765215678550325</v>
      </c>
      <c r="AN18" s="15" t="n">
        <f aca="false">IF(AND(Y18=1,H18*I18*15/12&gt;70000),H18*p_mkt*Q18*p_rs_succ,0)</f>
        <v>0</v>
      </c>
    </row>
    <row r="19" customFormat="false" ht="23.25" hidden="false" customHeight="true" outlineLevel="0" collapsed="false">
      <c r="A19" s="10" t="s">
        <v>403</v>
      </c>
      <c r="B19" s="13" t="s">
        <v>404</v>
      </c>
      <c r="C19" s="10" t="s">
        <v>398</v>
      </c>
      <c r="D19" s="26" t="n">
        <v>0</v>
      </c>
      <c r="E19" s="27" t="n">
        <v>0.0058</v>
      </c>
      <c r="F19" s="27" t="n">
        <v>0.0015</v>
      </c>
      <c r="G19" s="13" t="s">
        <v>405</v>
      </c>
      <c r="H19" s="17" t="n">
        <v>0</v>
      </c>
      <c r="I19" s="27" t="n">
        <v>0</v>
      </c>
      <c r="J19" s="17" t="n">
        <v>0</v>
      </c>
      <c r="K19" s="27" t="n">
        <v>0</v>
      </c>
      <c r="L19" s="17" t="n">
        <v>0</v>
      </c>
      <c r="M19" s="27" t="n">
        <v>0</v>
      </c>
      <c r="N19" s="17" t="n">
        <v>558798</v>
      </c>
      <c r="O19" s="27" t="n">
        <v>0.18</v>
      </c>
      <c r="P19" s="28" t="n">
        <f aca="false">E19*p_sup_idx*(1+p_pack)+F19*p_log_mult</f>
        <v>0.0091125</v>
      </c>
      <c r="Q19" s="28" t="n">
        <f aca="false">I19*p_pf_cen</f>
        <v>0</v>
      </c>
      <c r="R19" s="28" t="n">
        <f aca="false">K19*p_pf_cen</f>
        <v>0</v>
      </c>
      <c r="S19" s="28" t="n">
        <f aca="false">M19*p_pf_dec</f>
        <v>0</v>
      </c>
      <c r="T19" s="28" t="n">
        <f aca="false">O19*p_pf_dec</f>
        <v>0.162</v>
      </c>
      <c r="U19" s="21" t="n">
        <f aca="false">IF(Q19&gt;0,1-P19/Q19,-9)</f>
        <v>-9</v>
      </c>
      <c r="V19" s="21" t="n">
        <f aca="false">IF(R19&gt;0,1-P19/R19,-9)</f>
        <v>-9</v>
      </c>
      <c r="W19" s="21" t="n">
        <f aca="false">IF(S19&gt;0,1-P19/S19,-9)</f>
        <v>-9</v>
      </c>
      <c r="X19" s="21" t="n">
        <f aca="false">IF(T19&gt;0,1-P19/T19,-9)</f>
        <v>0.94375</v>
      </c>
      <c r="Y19" s="29" t="n">
        <f aca="false">IF(AND($D19=1,H19&gt;0,U19&gt;=p_gm_cen),1,0)</f>
        <v>0</v>
      </c>
      <c r="Z19" s="29" t="n">
        <f aca="false">IF(AND($D19=1,J19&gt;0,V19&gt;=p_gm_cen),1,0)</f>
        <v>0</v>
      </c>
      <c r="AA19" s="29" t="n">
        <f aca="false">IF(AND($D19=1,L19&gt;0,W19&gt;=p_gm_dec),1,0)</f>
        <v>0</v>
      </c>
      <c r="AB19" s="29" t="n">
        <f aca="false">IF(AND($D19=1,N19&gt;0,X19&gt;=p_gm_dec),1,0)</f>
        <v>0</v>
      </c>
      <c r="AC19" s="15" t="n">
        <f aca="false">AA19*L19*p_mkt*S19*p_rs_succ*p_share_dec</f>
        <v>0</v>
      </c>
      <c r="AD19" s="15" t="n">
        <f aca="false">AB19*N19*p_mkt*T19*p_rs_succ*p_share_dec</f>
        <v>0</v>
      </c>
      <c r="AE19" s="15" t="n">
        <f aca="false">Y19*H19*p_mkt*Q19*p_rs_succ*p_realiz</f>
        <v>0</v>
      </c>
      <c r="AF19" s="15" t="n">
        <f aca="false">Z19*J19*p_mkt*R19*p_rs_succ*p_realiz</f>
        <v>0</v>
      </c>
      <c r="AG19" s="15" t="n">
        <f aca="false">IF(S19&gt;0,AC19*P19/S19,0)</f>
        <v>0</v>
      </c>
      <c r="AH19" s="15" t="n">
        <f aca="false">IF(T19&gt;0,AD19*P19/T19,0)</f>
        <v>0</v>
      </c>
      <c r="AI19" s="15" t="n">
        <f aca="false">IF(Q19&gt;0,AE19*P19/Q19,0)</f>
        <v>0</v>
      </c>
      <c r="AJ19" s="15" t="n">
        <f aca="false">IF(R19&gt;0,AF19*P19/R19,0)</f>
        <v>0</v>
      </c>
      <c r="AK19" s="15" t="n">
        <f aca="false">AC19+AD19+AE19*p_pwin_cen+AF19*p_pwin_cen*p_minsa_occ</f>
        <v>0</v>
      </c>
      <c r="AL19" s="15" t="n">
        <f aca="false">(AC19-AG19)+(AD19-AH19)+(AE19-AI19)*p_pwin_cen+(AF19-AJ19)*p_pwin_cen*p_minsa_occ</f>
        <v>0</v>
      </c>
      <c r="AM19" s="21" t="n">
        <f aca="false">IF(P19&gt;0,E19*p_sup_idx*(1+p_pack)/P19,0)</f>
        <v>0.835390946502058</v>
      </c>
      <c r="AN19" s="15" t="n">
        <f aca="false">IF(AND(Y19=1,H19*I19*15/12&gt;70000),H19*p_mkt*Q19*p_rs_succ,0)</f>
        <v>0</v>
      </c>
    </row>
    <row r="20" customFormat="false" ht="23.25" hidden="false" customHeight="true" outlineLevel="0" collapsed="false">
      <c r="A20" s="10" t="s">
        <v>406</v>
      </c>
      <c r="B20" s="13" t="s">
        <v>407</v>
      </c>
      <c r="C20" s="10" t="s">
        <v>398</v>
      </c>
      <c r="D20" s="26" t="n">
        <v>0</v>
      </c>
      <c r="E20" s="27" t="n">
        <v>0.0193</v>
      </c>
      <c r="F20" s="27" t="n">
        <v>0.0015</v>
      </c>
      <c r="G20" s="13" t="s">
        <v>408</v>
      </c>
      <c r="H20" s="17" t="n">
        <v>0</v>
      </c>
      <c r="I20" s="27" t="n">
        <v>0</v>
      </c>
      <c r="J20" s="17" t="n">
        <v>0</v>
      </c>
      <c r="K20" s="27" t="n">
        <v>0</v>
      </c>
      <c r="L20" s="17" t="n">
        <v>0</v>
      </c>
      <c r="M20" s="27" t="n">
        <v>0</v>
      </c>
      <c r="N20" s="17" t="n">
        <v>509795</v>
      </c>
      <c r="O20" s="27" t="n">
        <v>0.13</v>
      </c>
      <c r="P20" s="28" t="n">
        <f aca="false">E20*p_sup_idx*(1+p_pack)+F20*p_log_mult</f>
        <v>0.02683125</v>
      </c>
      <c r="Q20" s="28" t="n">
        <f aca="false">I20*p_pf_cen</f>
        <v>0</v>
      </c>
      <c r="R20" s="28" t="n">
        <f aca="false">K20*p_pf_cen</f>
        <v>0</v>
      </c>
      <c r="S20" s="28" t="n">
        <f aca="false">M20*p_pf_dec</f>
        <v>0</v>
      </c>
      <c r="T20" s="28" t="n">
        <f aca="false">O20*p_pf_dec</f>
        <v>0.117</v>
      </c>
      <c r="U20" s="21" t="n">
        <f aca="false">IF(Q20&gt;0,1-P20/Q20,-9)</f>
        <v>-9</v>
      </c>
      <c r="V20" s="21" t="n">
        <f aca="false">IF(R20&gt;0,1-P20/R20,-9)</f>
        <v>-9</v>
      </c>
      <c r="W20" s="21" t="n">
        <f aca="false">IF(S20&gt;0,1-P20/S20,-9)</f>
        <v>-9</v>
      </c>
      <c r="X20" s="21" t="n">
        <f aca="false">IF(T20&gt;0,1-P20/T20,-9)</f>
        <v>0.770673076923077</v>
      </c>
      <c r="Y20" s="29" t="n">
        <f aca="false">IF(AND($D20=1,H20&gt;0,U20&gt;=p_gm_cen),1,0)</f>
        <v>0</v>
      </c>
      <c r="Z20" s="29" t="n">
        <f aca="false">IF(AND($D20=1,J20&gt;0,V20&gt;=p_gm_cen),1,0)</f>
        <v>0</v>
      </c>
      <c r="AA20" s="29" t="n">
        <f aca="false">IF(AND($D20=1,L20&gt;0,W20&gt;=p_gm_dec),1,0)</f>
        <v>0</v>
      </c>
      <c r="AB20" s="29" t="n">
        <f aca="false">IF(AND($D20=1,N20&gt;0,X20&gt;=p_gm_dec),1,0)</f>
        <v>0</v>
      </c>
      <c r="AC20" s="15" t="n">
        <f aca="false">AA20*L20*p_mkt*S20*p_rs_succ*p_share_dec</f>
        <v>0</v>
      </c>
      <c r="AD20" s="15" t="n">
        <f aca="false">AB20*N20*p_mkt*T20*p_rs_succ*p_share_dec</f>
        <v>0</v>
      </c>
      <c r="AE20" s="15" t="n">
        <f aca="false">Y20*H20*p_mkt*Q20*p_rs_succ*p_realiz</f>
        <v>0</v>
      </c>
      <c r="AF20" s="15" t="n">
        <f aca="false">Z20*J20*p_mkt*R20*p_rs_succ*p_realiz</f>
        <v>0</v>
      </c>
      <c r="AG20" s="15" t="n">
        <f aca="false">IF(S20&gt;0,AC20*P20/S20,0)</f>
        <v>0</v>
      </c>
      <c r="AH20" s="15" t="n">
        <f aca="false">IF(T20&gt;0,AD20*P20/T20,0)</f>
        <v>0</v>
      </c>
      <c r="AI20" s="15" t="n">
        <f aca="false">IF(Q20&gt;0,AE20*P20/Q20,0)</f>
        <v>0</v>
      </c>
      <c r="AJ20" s="15" t="n">
        <f aca="false">IF(R20&gt;0,AF20*P20/R20,0)</f>
        <v>0</v>
      </c>
      <c r="AK20" s="15" t="n">
        <f aca="false">AC20+AD20+AE20*p_pwin_cen+AF20*p_pwin_cen*p_minsa_occ</f>
        <v>0</v>
      </c>
      <c r="AL20" s="15" t="n">
        <f aca="false">(AC20-AG20)+(AD20-AH20)+(AE20-AI20)*p_pwin_cen+(AF20-AJ20)*p_pwin_cen*p_minsa_occ</f>
        <v>0</v>
      </c>
      <c r="AM20" s="21" t="n">
        <f aca="false">IF(P20&gt;0,E20*p_sup_idx*(1+p_pack)/P20,0)</f>
        <v>0.944095038434661</v>
      </c>
      <c r="AN20" s="15" t="n">
        <f aca="false">IF(AND(Y20=1,H20*I20*15/12&gt;70000),H20*p_mkt*Q20*p_rs_succ,0)</f>
        <v>0</v>
      </c>
    </row>
    <row r="21" customFormat="false" ht="23.25" hidden="false" customHeight="true" outlineLevel="0" collapsed="false">
      <c r="A21" s="10" t="s">
        <v>409</v>
      </c>
      <c r="B21" s="13" t="s">
        <v>410</v>
      </c>
      <c r="C21" s="10" t="s">
        <v>398</v>
      </c>
      <c r="D21" s="26" t="n">
        <v>0</v>
      </c>
      <c r="E21" s="27" t="n">
        <v>0.0345</v>
      </c>
      <c r="F21" s="27" t="n">
        <v>0.0015</v>
      </c>
      <c r="G21" s="13" t="s">
        <v>411</v>
      </c>
      <c r="H21" s="17" t="n">
        <v>1376100</v>
      </c>
      <c r="I21" s="27" t="n">
        <v>0.079</v>
      </c>
      <c r="J21" s="17" t="n">
        <v>0</v>
      </c>
      <c r="K21" s="27" t="n">
        <v>0</v>
      </c>
      <c r="L21" s="17" t="n">
        <v>243829</v>
      </c>
      <c r="M21" s="27" t="n">
        <v>0.21</v>
      </c>
      <c r="N21" s="17" t="n">
        <v>28886</v>
      </c>
      <c r="O21" s="27" t="n">
        <v>0.2</v>
      </c>
      <c r="P21" s="28" t="n">
        <f aca="false">E21*p_sup_idx*(1+p_pack)+F21*p_log_mult</f>
        <v>0.04678125</v>
      </c>
      <c r="Q21" s="28" t="n">
        <f aca="false">I21*p_pf_cen</f>
        <v>0.07505</v>
      </c>
      <c r="R21" s="28" t="n">
        <f aca="false">K21*p_pf_cen</f>
        <v>0</v>
      </c>
      <c r="S21" s="28" t="n">
        <f aca="false">M21*p_pf_dec</f>
        <v>0.189</v>
      </c>
      <c r="T21" s="28" t="n">
        <f aca="false">O21*p_pf_dec</f>
        <v>0.18</v>
      </c>
      <c r="U21" s="21" t="n">
        <f aca="false">IF(Q21&gt;0,1-P21/Q21,-9)</f>
        <v>0.376665556295803</v>
      </c>
      <c r="V21" s="21" t="n">
        <f aca="false">IF(R21&gt;0,1-P21/R21,-9)</f>
        <v>-9</v>
      </c>
      <c r="W21" s="21" t="n">
        <f aca="false">IF(S21&gt;0,1-P21/S21,-9)</f>
        <v>0.752480158730159</v>
      </c>
      <c r="X21" s="21" t="n">
        <f aca="false">IF(T21&gt;0,1-P21/T21,-9)</f>
        <v>0.740104166666667</v>
      </c>
      <c r="Y21" s="29" t="n">
        <f aca="false">IF(AND($D21=1,H21&gt;0,U21&gt;=p_gm_cen),1,0)</f>
        <v>0</v>
      </c>
      <c r="Z21" s="29" t="n">
        <f aca="false">IF(AND($D21=1,J21&gt;0,V21&gt;=p_gm_cen),1,0)</f>
        <v>0</v>
      </c>
      <c r="AA21" s="29" t="n">
        <f aca="false">IF(AND($D21=1,L21&gt;0,W21&gt;=p_gm_dec),1,0)</f>
        <v>0</v>
      </c>
      <c r="AB21" s="29" t="n">
        <f aca="false">IF(AND($D21=1,N21&gt;0,X21&gt;=p_gm_dec),1,0)</f>
        <v>0</v>
      </c>
      <c r="AC21" s="15" t="n">
        <f aca="false">AA21*L21*p_mkt*S21*p_rs_succ*p_share_dec</f>
        <v>0</v>
      </c>
      <c r="AD21" s="15" t="n">
        <f aca="false">AB21*N21*p_mkt*T21*p_rs_succ*p_share_dec</f>
        <v>0</v>
      </c>
      <c r="AE21" s="15" t="n">
        <f aca="false">Y21*H21*p_mkt*Q21*p_rs_succ*p_realiz</f>
        <v>0</v>
      </c>
      <c r="AF21" s="15" t="n">
        <f aca="false">Z21*J21*p_mkt*R21*p_rs_succ*p_realiz</f>
        <v>0</v>
      </c>
      <c r="AG21" s="15" t="n">
        <f aca="false">IF(S21&gt;0,AC21*P21/S21,0)</f>
        <v>0</v>
      </c>
      <c r="AH21" s="15" t="n">
        <f aca="false">IF(T21&gt;0,AD21*P21/T21,0)</f>
        <v>0</v>
      </c>
      <c r="AI21" s="15" t="n">
        <f aca="false">IF(Q21&gt;0,AE21*P21/Q21,0)</f>
        <v>0</v>
      </c>
      <c r="AJ21" s="15" t="n">
        <f aca="false">IF(R21&gt;0,AF21*P21/R21,0)</f>
        <v>0</v>
      </c>
      <c r="AK21" s="15" t="n">
        <f aca="false">AC21+AD21+AE21*p_pwin_cen+AF21*p_pwin_cen*p_minsa_occ</f>
        <v>0</v>
      </c>
      <c r="AL21" s="15" t="n">
        <f aca="false">(AC21-AG21)+(AD21-AH21)+(AE21-AI21)*p_pwin_cen+(AF21-AJ21)*p_pwin_cen*p_minsa_occ</f>
        <v>0</v>
      </c>
      <c r="AM21" s="21" t="n">
        <f aca="false">IF(P21&gt;0,E21*p_sup_idx*(1+p_pack)/P21,0)</f>
        <v>0.967935871743487</v>
      </c>
      <c r="AN21" s="15" t="n">
        <f aca="false">IF(AND(Y21=1,H21*I21*15/12&gt;70000),H21*p_mkt*Q21*p_rs_succ,0)</f>
        <v>0</v>
      </c>
    </row>
    <row r="22" customFormat="false" ht="15" hidden="false" customHeight="true" outlineLevel="0" collapsed="false">
      <c r="A22" s="10" t="s">
        <v>412</v>
      </c>
      <c r="B22" s="13" t="s">
        <v>413</v>
      </c>
      <c r="C22" s="10" t="s">
        <v>398</v>
      </c>
      <c r="D22" s="26" t="n">
        <v>0</v>
      </c>
      <c r="E22" s="27" t="n">
        <v>0.016</v>
      </c>
      <c r="F22" s="27" t="n">
        <v>0.00153</v>
      </c>
      <c r="G22" s="13" t="s">
        <v>381</v>
      </c>
      <c r="H22" s="17" t="n">
        <v>443907</v>
      </c>
      <c r="I22" s="27" t="n">
        <v>0.065</v>
      </c>
      <c r="J22" s="17" t="n">
        <v>0</v>
      </c>
      <c r="K22" s="27" t="n">
        <v>0</v>
      </c>
      <c r="L22" s="17" t="n">
        <v>26343</v>
      </c>
      <c r="M22" s="27" t="n">
        <v>1.02</v>
      </c>
      <c r="N22" s="17" t="n">
        <v>4640</v>
      </c>
      <c r="O22" s="27" t="n">
        <v>1.18</v>
      </c>
      <c r="P22" s="28" t="n">
        <f aca="false">E22*p_sup_idx*(1+p_pack)+F22*p_log_mult</f>
        <v>0.02253</v>
      </c>
      <c r="Q22" s="28" t="n">
        <f aca="false">I22*p_pf_cen</f>
        <v>0.06175</v>
      </c>
      <c r="R22" s="28" t="n">
        <f aca="false">K22*p_pf_cen</f>
        <v>0</v>
      </c>
      <c r="S22" s="28" t="n">
        <f aca="false">M22*p_pf_dec</f>
        <v>0.918</v>
      </c>
      <c r="T22" s="28" t="n">
        <f aca="false">O22*p_pf_dec</f>
        <v>1.062</v>
      </c>
      <c r="U22" s="21" t="n">
        <f aca="false">IF(Q22&gt;0,1-P22/Q22,-9)</f>
        <v>0.635141700404858</v>
      </c>
      <c r="V22" s="21" t="n">
        <f aca="false">IF(R22&gt;0,1-P22/R22,-9)</f>
        <v>-9</v>
      </c>
      <c r="W22" s="21" t="n">
        <f aca="false">IF(S22&gt;0,1-P22/S22,-9)</f>
        <v>0.975457516339869</v>
      </c>
      <c r="X22" s="21" t="n">
        <f aca="false">IF(T22&gt;0,1-P22/T22,-9)</f>
        <v>0.978785310734463</v>
      </c>
      <c r="Y22" s="29" t="n">
        <f aca="false">IF(AND($D22=1,H22&gt;0,U22&gt;=p_gm_cen),1,0)</f>
        <v>0</v>
      </c>
      <c r="Z22" s="29" t="n">
        <f aca="false">IF(AND($D22=1,J22&gt;0,V22&gt;=p_gm_cen),1,0)</f>
        <v>0</v>
      </c>
      <c r="AA22" s="29" t="n">
        <f aca="false">IF(AND($D22=1,L22&gt;0,W22&gt;=p_gm_dec),1,0)</f>
        <v>0</v>
      </c>
      <c r="AB22" s="29" t="n">
        <f aca="false">IF(AND($D22=1,N22&gt;0,X22&gt;=p_gm_dec),1,0)</f>
        <v>0</v>
      </c>
      <c r="AC22" s="15" t="n">
        <f aca="false">AA22*L22*p_mkt*S22*p_rs_succ*p_share_dec</f>
        <v>0</v>
      </c>
      <c r="AD22" s="15" t="n">
        <f aca="false">AB22*N22*p_mkt*T22*p_rs_succ*p_share_dec</f>
        <v>0</v>
      </c>
      <c r="AE22" s="15" t="n">
        <f aca="false">Y22*H22*p_mkt*Q22*p_rs_succ*p_realiz</f>
        <v>0</v>
      </c>
      <c r="AF22" s="15" t="n">
        <f aca="false">Z22*J22*p_mkt*R22*p_rs_succ*p_realiz</f>
        <v>0</v>
      </c>
      <c r="AG22" s="15" t="n">
        <f aca="false">IF(S22&gt;0,AC22*P22/S22,0)</f>
        <v>0</v>
      </c>
      <c r="AH22" s="15" t="n">
        <f aca="false">IF(T22&gt;0,AD22*P22/T22,0)</f>
        <v>0</v>
      </c>
      <c r="AI22" s="15" t="n">
        <f aca="false">IF(Q22&gt;0,AE22*P22/Q22,0)</f>
        <v>0</v>
      </c>
      <c r="AJ22" s="15" t="n">
        <f aca="false">IF(R22&gt;0,AF22*P22/R22,0)</f>
        <v>0</v>
      </c>
      <c r="AK22" s="15" t="n">
        <f aca="false">AC22+AD22+AE22*p_pwin_cen+AF22*p_pwin_cen*p_minsa_occ</f>
        <v>0</v>
      </c>
      <c r="AL22" s="15" t="n">
        <f aca="false">(AC22-AG22)+(AD22-AH22)+(AE22-AI22)*p_pwin_cen+(AF22-AJ22)*p_pwin_cen*p_minsa_occ</f>
        <v>0</v>
      </c>
      <c r="AM22" s="21" t="n">
        <f aca="false">IF(P22&gt;0,E22*p_sup_idx*(1+p_pack)/P22,0)</f>
        <v>0.932090545938748</v>
      </c>
      <c r="AN22" s="15" t="n">
        <f aca="false">IF(AND(Y22=1,H22*I22*15/12&gt;70000),H22*p_mkt*Q22*p_rs_succ,0)</f>
        <v>0</v>
      </c>
    </row>
    <row r="23" customFormat="false" ht="15" hidden="false" customHeight="true" outlineLevel="0" collapsed="false">
      <c r="A23" s="10" t="s">
        <v>414</v>
      </c>
      <c r="B23" s="13" t="s">
        <v>415</v>
      </c>
      <c r="C23" s="10" t="s">
        <v>416</v>
      </c>
      <c r="D23" s="26" t="n">
        <v>0</v>
      </c>
      <c r="E23" s="27" t="n">
        <v>0.0013</v>
      </c>
      <c r="F23" s="27" t="n">
        <v>0.00148</v>
      </c>
      <c r="G23" s="13" t="s">
        <v>417</v>
      </c>
      <c r="H23" s="17" t="n">
        <v>2033363</v>
      </c>
      <c r="I23" s="27" t="n">
        <v>0.029</v>
      </c>
      <c r="J23" s="17" t="n">
        <v>1721317</v>
      </c>
      <c r="K23" s="27" t="n">
        <v>0.01</v>
      </c>
      <c r="L23" s="17" t="n">
        <v>0</v>
      </c>
      <c r="M23" s="27" t="n">
        <v>0</v>
      </c>
      <c r="N23" s="17" t="n">
        <v>5891</v>
      </c>
      <c r="O23" s="27" t="n">
        <v>0.35</v>
      </c>
      <c r="P23" s="28" t="n">
        <f aca="false">E23*p_sup_idx*(1+p_pack)+F23*p_log_mult</f>
        <v>0.00318625</v>
      </c>
      <c r="Q23" s="28" t="n">
        <f aca="false">I23*p_pf_cen</f>
        <v>0.02755</v>
      </c>
      <c r="R23" s="28" t="n">
        <f aca="false">K23*p_pf_cen</f>
        <v>0.0095</v>
      </c>
      <c r="S23" s="28" t="n">
        <f aca="false">M23*p_pf_dec</f>
        <v>0</v>
      </c>
      <c r="T23" s="28" t="n">
        <f aca="false">O23*p_pf_dec</f>
        <v>0.315</v>
      </c>
      <c r="U23" s="21" t="n">
        <f aca="false">IF(Q23&gt;0,1-P23/Q23,-9)</f>
        <v>0.88434664246824</v>
      </c>
      <c r="V23" s="21" t="n">
        <f aca="false">IF(R23&gt;0,1-P23/R23,-9)</f>
        <v>0.664605263157895</v>
      </c>
      <c r="W23" s="21" t="n">
        <f aca="false">IF(S23&gt;0,1-P23/S23,-9)</f>
        <v>-9</v>
      </c>
      <c r="X23" s="21" t="n">
        <f aca="false">IF(T23&gt;0,1-P23/T23,-9)</f>
        <v>0.989884920634921</v>
      </c>
      <c r="Y23" s="29" t="n">
        <f aca="false">IF(AND($D23=1,H23&gt;0,U23&gt;=p_gm_cen),1,0)</f>
        <v>0</v>
      </c>
      <c r="Z23" s="29" t="n">
        <f aca="false">IF(AND($D23=1,J23&gt;0,V23&gt;=p_gm_cen),1,0)</f>
        <v>0</v>
      </c>
      <c r="AA23" s="29" t="n">
        <f aca="false">IF(AND($D23=1,L23&gt;0,W23&gt;=p_gm_dec),1,0)</f>
        <v>0</v>
      </c>
      <c r="AB23" s="29" t="n">
        <f aca="false">IF(AND($D23=1,N23&gt;0,X23&gt;=p_gm_dec),1,0)</f>
        <v>0</v>
      </c>
      <c r="AC23" s="15" t="n">
        <f aca="false">AA23*L23*p_mkt*S23*p_rs_succ*p_share_dec</f>
        <v>0</v>
      </c>
      <c r="AD23" s="15" t="n">
        <f aca="false">AB23*N23*p_mkt*T23*p_rs_succ*p_share_dec</f>
        <v>0</v>
      </c>
      <c r="AE23" s="15" t="n">
        <f aca="false">Y23*H23*p_mkt*Q23*p_rs_succ*p_realiz</f>
        <v>0</v>
      </c>
      <c r="AF23" s="15" t="n">
        <f aca="false">Z23*J23*p_mkt*R23*p_rs_succ*p_realiz</f>
        <v>0</v>
      </c>
      <c r="AG23" s="15" t="n">
        <f aca="false">IF(S23&gt;0,AC23*P23/S23,0)</f>
        <v>0</v>
      </c>
      <c r="AH23" s="15" t="n">
        <f aca="false">IF(T23&gt;0,AD23*P23/T23,0)</f>
        <v>0</v>
      </c>
      <c r="AI23" s="15" t="n">
        <f aca="false">IF(Q23&gt;0,AE23*P23/Q23,0)</f>
        <v>0</v>
      </c>
      <c r="AJ23" s="15" t="n">
        <f aca="false">IF(R23&gt;0,AF23*P23/R23,0)</f>
        <v>0</v>
      </c>
      <c r="AK23" s="15" t="n">
        <f aca="false">AC23+AD23+AE23*p_pwin_cen+AF23*p_pwin_cen*p_minsa_occ</f>
        <v>0</v>
      </c>
      <c r="AL23" s="15" t="n">
        <f aca="false">(AC23-AG23)+(AD23-AH23)+(AE23-AI23)*p_pwin_cen+(AF23-AJ23)*p_pwin_cen*p_minsa_occ</f>
        <v>0</v>
      </c>
      <c r="AM23" s="21" t="n">
        <f aca="false">IF(P23&gt;0,E23*p_sup_idx*(1+p_pack)/P23,0)</f>
        <v>0.535504119262456</v>
      </c>
      <c r="AN23" s="15" t="n">
        <f aca="false">IF(AND(Y23=1,H23*I23*15/12&gt;70000),H23*p_mkt*Q23*p_rs_succ,0)</f>
        <v>0</v>
      </c>
    </row>
    <row r="24" customFormat="false" ht="15" hidden="false" customHeight="true" outlineLevel="0" collapsed="false">
      <c r="A24" s="10" t="s">
        <v>418</v>
      </c>
      <c r="B24" s="13" t="s">
        <v>419</v>
      </c>
      <c r="C24" s="10" t="s">
        <v>416</v>
      </c>
      <c r="D24" s="26" t="n">
        <v>0</v>
      </c>
      <c r="E24" s="27" t="n">
        <v>0.0028</v>
      </c>
      <c r="F24" s="27" t="n">
        <v>0.0015</v>
      </c>
      <c r="G24" s="13" t="s">
        <v>420</v>
      </c>
      <c r="H24" s="17" t="n">
        <v>3497727</v>
      </c>
      <c r="I24" s="27" t="n">
        <v>0.016</v>
      </c>
      <c r="J24" s="17" t="n">
        <v>0</v>
      </c>
      <c r="K24" s="27" t="n">
        <v>0</v>
      </c>
      <c r="L24" s="17" t="n">
        <v>139429</v>
      </c>
      <c r="M24" s="27" t="n">
        <v>0.24</v>
      </c>
      <c r="N24" s="17" t="n">
        <v>212682</v>
      </c>
      <c r="O24" s="27" t="n">
        <v>0.205</v>
      </c>
      <c r="P24" s="28" t="n">
        <f aca="false">E24*p_sup_idx*(1+p_pack)+F24*p_log_mult</f>
        <v>0.005175</v>
      </c>
      <c r="Q24" s="28" t="n">
        <f aca="false">I24*p_pf_cen</f>
        <v>0.0152</v>
      </c>
      <c r="R24" s="28" t="n">
        <f aca="false">K24*p_pf_cen</f>
        <v>0</v>
      </c>
      <c r="S24" s="28" t="n">
        <f aca="false">M24*p_pf_dec</f>
        <v>0.216</v>
      </c>
      <c r="T24" s="28" t="n">
        <f aca="false">O24*p_pf_dec</f>
        <v>0.1845</v>
      </c>
      <c r="U24" s="21" t="n">
        <f aca="false">IF(Q24&gt;0,1-P24/Q24,-9)</f>
        <v>0.65953947368421</v>
      </c>
      <c r="V24" s="21" t="n">
        <f aca="false">IF(R24&gt;0,1-P24/R24,-9)</f>
        <v>-9</v>
      </c>
      <c r="W24" s="21" t="n">
        <f aca="false">IF(S24&gt;0,1-P24/S24,-9)</f>
        <v>0.976041666666667</v>
      </c>
      <c r="X24" s="21" t="n">
        <f aca="false">IF(T24&gt;0,1-P24/T24,-9)</f>
        <v>0.971951219512195</v>
      </c>
      <c r="Y24" s="29" t="n">
        <f aca="false">IF(AND($D24=1,H24&gt;0,U24&gt;=p_gm_cen),1,0)</f>
        <v>0</v>
      </c>
      <c r="Z24" s="29" t="n">
        <f aca="false">IF(AND($D24=1,J24&gt;0,V24&gt;=p_gm_cen),1,0)</f>
        <v>0</v>
      </c>
      <c r="AA24" s="29" t="n">
        <f aca="false">IF(AND($D24=1,L24&gt;0,W24&gt;=p_gm_dec),1,0)</f>
        <v>0</v>
      </c>
      <c r="AB24" s="29" t="n">
        <f aca="false">IF(AND($D24=1,N24&gt;0,X24&gt;=p_gm_dec),1,0)</f>
        <v>0</v>
      </c>
      <c r="AC24" s="15" t="n">
        <f aca="false">AA24*L24*p_mkt*S24*p_rs_succ*p_share_dec</f>
        <v>0</v>
      </c>
      <c r="AD24" s="15" t="n">
        <f aca="false">AB24*N24*p_mkt*T24*p_rs_succ*p_share_dec</f>
        <v>0</v>
      </c>
      <c r="AE24" s="15" t="n">
        <f aca="false">Y24*H24*p_mkt*Q24*p_rs_succ*p_realiz</f>
        <v>0</v>
      </c>
      <c r="AF24" s="15" t="n">
        <f aca="false">Z24*J24*p_mkt*R24*p_rs_succ*p_realiz</f>
        <v>0</v>
      </c>
      <c r="AG24" s="15" t="n">
        <f aca="false">IF(S24&gt;0,AC24*P24/S24,0)</f>
        <v>0</v>
      </c>
      <c r="AH24" s="15" t="n">
        <f aca="false">IF(T24&gt;0,AD24*P24/T24,0)</f>
        <v>0</v>
      </c>
      <c r="AI24" s="15" t="n">
        <f aca="false">IF(Q24&gt;0,AE24*P24/Q24,0)</f>
        <v>0</v>
      </c>
      <c r="AJ24" s="15" t="n">
        <f aca="false">IF(R24&gt;0,AF24*P24/R24,0)</f>
        <v>0</v>
      </c>
      <c r="AK24" s="15" t="n">
        <f aca="false">AC24+AD24+AE24*p_pwin_cen+AF24*p_pwin_cen*p_minsa_occ</f>
        <v>0</v>
      </c>
      <c r="AL24" s="15" t="n">
        <f aca="false">(AC24-AG24)+(AD24-AH24)+(AE24-AI24)*p_pwin_cen+(AF24-AJ24)*p_pwin_cen*p_minsa_occ</f>
        <v>0</v>
      </c>
      <c r="AM24" s="21" t="n">
        <f aca="false">IF(P24&gt;0,E24*p_sup_idx*(1+p_pack)/P24,0)</f>
        <v>0.710144927536232</v>
      </c>
      <c r="AN24" s="15" t="n">
        <f aca="false">IF(AND(Y24=1,H24*I24*15/12&gt;70000),H24*p_mkt*Q24*p_rs_succ,0)</f>
        <v>0</v>
      </c>
    </row>
    <row r="25" customFormat="false" ht="15" hidden="false" customHeight="true" outlineLevel="0" collapsed="false">
      <c r="B25" s="8" t="s">
        <v>421</v>
      </c>
      <c r="AC25" s="25" t="n">
        <f aca="false">SUM(AC6:AC24)</f>
        <v>20921.7604266</v>
      </c>
      <c r="AD25" s="25" t="n">
        <f aca="false">SUM(AD6:AD24)</f>
        <v>69833.19941235</v>
      </c>
      <c r="AE25" s="25" t="n">
        <f aca="false">SUM(AE6:AE24)</f>
        <v>251013.64544775</v>
      </c>
      <c r="AF25" s="25" t="n">
        <f aca="false">SUM(AF6:AF24)</f>
        <v>315973.72326375</v>
      </c>
      <c r="AG25" s="25" t="n">
        <f aca="false">SUM(AG6:AG24)</f>
        <v>7837.238741013</v>
      </c>
      <c r="AH25" s="25" t="n">
        <f aca="false">SUM(AH6:AH24)</f>
        <v>29112.5071784498</v>
      </c>
      <c r="AI25" s="25" t="n">
        <f aca="false">SUM(AI6:AI24)</f>
        <v>116483.467788225</v>
      </c>
      <c r="AJ25" s="25" t="n">
        <f aca="false">SUM(AJ6:AJ24)</f>
        <v>62650.2962890125</v>
      </c>
      <c r="AK25" s="25" t="n">
        <f aca="false">SUM(AK6:AK24)</f>
        <v>213455.111962838</v>
      </c>
      <c r="AL25" s="25" t="n">
        <f aca="false">SUM(AL6:AL24)</f>
        <v>132162.781263555</v>
      </c>
      <c r="AM25" s="30" t="n">
        <f aca="false">IF(SUM(AG6:AJ24)&gt;0,SUMPRODUCT(AG6:AG24+AH6:AH24+AI6:AI24+AJ6:AJ24,AM6:AM24)/SUM(AG6:AJ24),0)</f>
        <v>0.742349777680193</v>
      </c>
      <c r="AN25" s="25" t="n">
        <f aca="false">SUM(AN6:AN24)</f>
        <v>183953.724525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9"/>
    <col collapsed="false" customWidth="true" hidden="false" outlineLevel="0" max="64" min="3" style="1" width="10"/>
  </cols>
  <sheetData>
    <row r="1" customFormat="false" ht="17.25" hidden="false" customHeight="true" outlineLevel="0" collapsed="false">
      <c r="A1" s="7" t="s">
        <v>422</v>
      </c>
    </row>
    <row r="2" customFormat="false" ht="15" hidden="false" customHeight="true" outlineLevel="0" collapsed="false">
      <c r="C2" s="11" t="s">
        <v>423</v>
      </c>
    </row>
    <row r="3" customFormat="false" ht="15" hidden="false" customHeight="true" outlineLevel="0" collapsed="false">
      <c r="A3" s="31" t="s">
        <v>253</v>
      </c>
      <c r="B3" s="32"/>
      <c r="C3" s="33" t="n">
        <v>0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  <c r="N3" s="34" t="n">
        <v>11</v>
      </c>
      <c r="O3" s="34" t="n">
        <v>12</v>
      </c>
      <c r="P3" s="34" t="n">
        <v>13</v>
      </c>
      <c r="Q3" s="34" t="n">
        <v>14</v>
      </c>
      <c r="R3" s="34" t="n">
        <v>15</v>
      </c>
      <c r="S3" s="34" t="n">
        <v>16</v>
      </c>
      <c r="T3" s="34" t="n">
        <v>17</v>
      </c>
      <c r="U3" s="34" t="n">
        <v>18</v>
      </c>
      <c r="V3" s="34" t="n">
        <v>19</v>
      </c>
      <c r="W3" s="34" t="n">
        <v>20</v>
      </c>
      <c r="X3" s="34" t="n">
        <v>21</v>
      </c>
      <c r="Y3" s="34" t="n">
        <v>22</v>
      </c>
      <c r="Z3" s="34" t="n">
        <v>23</v>
      </c>
      <c r="AA3" s="34" t="n">
        <v>24</v>
      </c>
      <c r="AB3" s="34" t="n">
        <v>25</v>
      </c>
      <c r="AC3" s="34" t="n">
        <v>26</v>
      </c>
      <c r="AD3" s="34" t="n">
        <v>27</v>
      </c>
      <c r="AE3" s="34" t="n">
        <v>28</v>
      </c>
      <c r="AF3" s="34" t="n">
        <v>29</v>
      </c>
      <c r="AG3" s="34" t="n">
        <v>30</v>
      </c>
      <c r="AH3" s="34" t="n">
        <v>31</v>
      </c>
      <c r="AI3" s="34" t="n">
        <v>32</v>
      </c>
      <c r="AJ3" s="34" t="n">
        <v>33</v>
      </c>
      <c r="AK3" s="34" t="n">
        <v>34</v>
      </c>
      <c r="AL3" s="34" t="n">
        <v>35</v>
      </c>
      <c r="AM3" s="34" t="n">
        <v>36</v>
      </c>
      <c r="AN3" s="34" t="n">
        <v>37</v>
      </c>
      <c r="AO3" s="34" t="n">
        <v>38</v>
      </c>
      <c r="AP3" s="34" t="n">
        <v>39</v>
      </c>
      <c r="AQ3" s="34" t="n">
        <v>40</v>
      </c>
      <c r="AR3" s="34" t="n">
        <v>41</v>
      </c>
      <c r="AS3" s="34" t="n">
        <v>42</v>
      </c>
      <c r="AT3" s="34" t="n">
        <v>43</v>
      </c>
      <c r="AU3" s="34" t="n">
        <v>44</v>
      </c>
      <c r="AV3" s="34" t="n">
        <v>45</v>
      </c>
      <c r="AW3" s="34" t="n">
        <v>46</v>
      </c>
      <c r="AX3" s="34" t="n">
        <v>47</v>
      </c>
      <c r="AY3" s="34" t="n">
        <v>48</v>
      </c>
      <c r="AZ3" s="34" t="n">
        <v>49</v>
      </c>
      <c r="BA3" s="34" t="n">
        <v>50</v>
      </c>
      <c r="BB3" s="34" t="n">
        <v>51</v>
      </c>
      <c r="BC3" s="34" t="n">
        <v>52</v>
      </c>
      <c r="BD3" s="34" t="n">
        <v>53</v>
      </c>
      <c r="BE3" s="34" t="n">
        <v>54</v>
      </c>
      <c r="BF3" s="34" t="n">
        <v>55</v>
      </c>
      <c r="BG3" s="34" t="n">
        <v>56</v>
      </c>
      <c r="BH3" s="34" t="n">
        <v>57</v>
      </c>
      <c r="BI3" s="34" t="n">
        <v>58</v>
      </c>
      <c r="BJ3" s="34" t="n">
        <v>59</v>
      </c>
      <c r="BK3" s="34" t="n">
        <v>60</v>
      </c>
      <c r="BL3" s="34" t="n">
        <v>61</v>
      </c>
    </row>
    <row r="4" customFormat="false" ht="15" hidden="false" customHeight="true" outlineLevel="0" collapsed="false">
      <c r="A4" s="10" t="s">
        <v>424</v>
      </c>
      <c r="D4" s="29" t="n">
        <f aca="false">INT((MIN(D$3,60)-1)/12)+1</f>
        <v>1</v>
      </c>
      <c r="E4" s="29" t="n">
        <f aca="false">INT((MIN(E$3,60)-1)/12)+1</f>
        <v>1</v>
      </c>
      <c r="F4" s="29" t="n">
        <f aca="false">INT((MIN(F$3,60)-1)/12)+1</f>
        <v>1</v>
      </c>
      <c r="G4" s="29" t="n">
        <f aca="false">INT((MIN(G$3,60)-1)/12)+1</f>
        <v>1</v>
      </c>
      <c r="H4" s="29" t="n">
        <f aca="false">INT((MIN(H$3,60)-1)/12)+1</f>
        <v>1</v>
      </c>
      <c r="I4" s="29" t="n">
        <f aca="false">INT((MIN(I$3,60)-1)/12)+1</f>
        <v>1</v>
      </c>
      <c r="J4" s="29" t="n">
        <f aca="false">INT((MIN(J$3,60)-1)/12)+1</f>
        <v>1</v>
      </c>
      <c r="K4" s="29" t="n">
        <f aca="false">INT((MIN(K$3,60)-1)/12)+1</f>
        <v>1</v>
      </c>
      <c r="L4" s="29" t="n">
        <f aca="false">INT((MIN(L$3,60)-1)/12)+1</f>
        <v>1</v>
      </c>
      <c r="M4" s="29" t="n">
        <f aca="false">INT((MIN(M$3,60)-1)/12)+1</f>
        <v>1</v>
      </c>
      <c r="N4" s="29" t="n">
        <f aca="false">INT((MIN(N$3,60)-1)/12)+1</f>
        <v>1</v>
      </c>
      <c r="O4" s="29" t="n">
        <f aca="false">INT((MIN(O$3,60)-1)/12)+1</f>
        <v>1</v>
      </c>
      <c r="P4" s="29" t="n">
        <f aca="false">INT((MIN(P$3,60)-1)/12)+1</f>
        <v>2</v>
      </c>
      <c r="Q4" s="29" t="n">
        <f aca="false">INT((MIN(Q$3,60)-1)/12)+1</f>
        <v>2</v>
      </c>
      <c r="R4" s="29" t="n">
        <f aca="false">INT((MIN(R$3,60)-1)/12)+1</f>
        <v>2</v>
      </c>
      <c r="S4" s="29" t="n">
        <f aca="false">INT((MIN(S$3,60)-1)/12)+1</f>
        <v>2</v>
      </c>
      <c r="T4" s="29" t="n">
        <f aca="false">INT((MIN(T$3,60)-1)/12)+1</f>
        <v>2</v>
      </c>
      <c r="U4" s="29" t="n">
        <f aca="false">INT((MIN(U$3,60)-1)/12)+1</f>
        <v>2</v>
      </c>
      <c r="V4" s="29" t="n">
        <f aca="false">INT((MIN(V$3,60)-1)/12)+1</f>
        <v>2</v>
      </c>
      <c r="W4" s="29" t="n">
        <f aca="false">INT((MIN(W$3,60)-1)/12)+1</f>
        <v>2</v>
      </c>
      <c r="X4" s="29" t="n">
        <f aca="false">INT((MIN(X$3,60)-1)/12)+1</f>
        <v>2</v>
      </c>
      <c r="Y4" s="29" t="n">
        <f aca="false">INT((MIN(Y$3,60)-1)/12)+1</f>
        <v>2</v>
      </c>
      <c r="Z4" s="29" t="n">
        <f aca="false">INT((MIN(Z$3,60)-1)/12)+1</f>
        <v>2</v>
      </c>
      <c r="AA4" s="29" t="n">
        <f aca="false">INT((MIN(AA$3,60)-1)/12)+1</f>
        <v>2</v>
      </c>
      <c r="AB4" s="29" t="n">
        <f aca="false">INT((MIN(AB$3,60)-1)/12)+1</f>
        <v>3</v>
      </c>
      <c r="AC4" s="29" t="n">
        <f aca="false">INT((MIN(AC$3,60)-1)/12)+1</f>
        <v>3</v>
      </c>
      <c r="AD4" s="29" t="n">
        <f aca="false">INT((MIN(AD$3,60)-1)/12)+1</f>
        <v>3</v>
      </c>
      <c r="AE4" s="29" t="n">
        <f aca="false">INT((MIN(AE$3,60)-1)/12)+1</f>
        <v>3</v>
      </c>
      <c r="AF4" s="29" t="n">
        <f aca="false">INT((MIN(AF$3,60)-1)/12)+1</f>
        <v>3</v>
      </c>
      <c r="AG4" s="29" t="n">
        <f aca="false">INT((MIN(AG$3,60)-1)/12)+1</f>
        <v>3</v>
      </c>
      <c r="AH4" s="29" t="n">
        <f aca="false">INT((MIN(AH$3,60)-1)/12)+1</f>
        <v>3</v>
      </c>
      <c r="AI4" s="29" t="n">
        <f aca="false">INT((MIN(AI$3,60)-1)/12)+1</f>
        <v>3</v>
      </c>
      <c r="AJ4" s="29" t="n">
        <f aca="false">INT((MIN(AJ$3,60)-1)/12)+1</f>
        <v>3</v>
      </c>
      <c r="AK4" s="29" t="n">
        <f aca="false">INT((MIN(AK$3,60)-1)/12)+1</f>
        <v>3</v>
      </c>
      <c r="AL4" s="29" t="n">
        <f aca="false">INT((MIN(AL$3,60)-1)/12)+1</f>
        <v>3</v>
      </c>
      <c r="AM4" s="29" t="n">
        <f aca="false">INT((MIN(AM$3,60)-1)/12)+1</f>
        <v>3</v>
      </c>
      <c r="AN4" s="29" t="n">
        <f aca="false">INT((MIN(AN$3,60)-1)/12)+1</f>
        <v>4</v>
      </c>
      <c r="AO4" s="29" t="n">
        <f aca="false">INT((MIN(AO$3,60)-1)/12)+1</f>
        <v>4</v>
      </c>
      <c r="AP4" s="29" t="n">
        <f aca="false">INT((MIN(AP$3,60)-1)/12)+1</f>
        <v>4</v>
      </c>
      <c r="AQ4" s="29" t="n">
        <f aca="false">INT((MIN(AQ$3,60)-1)/12)+1</f>
        <v>4</v>
      </c>
      <c r="AR4" s="29" t="n">
        <f aca="false">INT((MIN(AR$3,60)-1)/12)+1</f>
        <v>4</v>
      </c>
      <c r="AS4" s="29" t="n">
        <f aca="false">INT((MIN(AS$3,60)-1)/12)+1</f>
        <v>4</v>
      </c>
      <c r="AT4" s="29" t="n">
        <f aca="false">INT((MIN(AT$3,60)-1)/12)+1</f>
        <v>4</v>
      </c>
      <c r="AU4" s="29" t="n">
        <f aca="false">INT((MIN(AU$3,60)-1)/12)+1</f>
        <v>4</v>
      </c>
      <c r="AV4" s="29" t="n">
        <f aca="false">INT((MIN(AV$3,60)-1)/12)+1</f>
        <v>4</v>
      </c>
      <c r="AW4" s="29" t="n">
        <f aca="false">INT((MIN(AW$3,60)-1)/12)+1</f>
        <v>4</v>
      </c>
      <c r="AX4" s="29" t="n">
        <f aca="false">INT((MIN(AX$3,60)-1)/12)+1</f>
        <v>4</v>
      </c>
      <c r="AY4" s="29" t="n">
        <f aca="false">INT((MIN(AY$3,60)-1)/12)+1</f>
        <v>4</v>
      </c>
      <c r="AZ4" s="29" t="n">
        <f aca="false">INT((MIN(AZ$3,60)-1)/12)+1</f>
        <v>5</v>
      </c>
      <c r="BA4" s="29" t="n">
        <f aca="false">INT((MIN(BA$3,60)-1)/12)+1</f>
        <v>5</v>
      </c>
      <c r="BB4" s="29" t="n">
        <f aca="false">INT((MIN(BB$3,60)-1)/12)+1</f>
        <v>5</v>
      </c>
      <c r="BC4" s="29" t="n">
        <f aca="false">INT((MIN(BC$3,60)-1)/12)+1</f>
        <v>5</v>
      </c>
      <c r="BD4" s="29" t="n">
        <f aca="false">INT((MIN(BD$3,60)-1)/12)+1</f>
        <v>5</v>
      </c>
      <c r="BE4" s="29" t="n">
        <f aca="false">INT((MIN(BE$3,60)-1)/12)+1</f>
        <v>5</v>
      </c>
      <c r="BF4" s="29" t="n">
        <f aca="false">INT((MIN(BF$3,60)-1)/12)+1</f>
        <v>5</v>
      </c>
      <c r="BG4" s="29" t="n">
        <f aca="false">INT((MIN(BG$3,60)-1)/12)+1</f>
        <v>5</v>
      </c>
      <c r="BH4" s="29" t="n">
        <f aca="false">INT((MIN(BH$3,60)-1)/12)+1</f>
        <v>5</v>
      </c>
      <c r="BI4" s="29" t="n">
        <f aca="false">INT((MIN(BI$3,60)-1)/12)+1</f>
        <v>5</v>
      </c>
      <c r="BJ4" s="29" t="n">
        <f aca="false">INT((MIN(BJ$3,60)-1)/12)+1</f>
        <v>5</v>
      </c>
      <c r="BK4" s="29" t="n">
        <f aca="false">INT((MIN(BK$3,60)-1)/12)+1</f>
        <v>5</v>
      </c>
      <c r="BL4" s="29" t="n">
        <f aca="false">INT((MIN(BL$3,60)-1)/12)+1</f>
        <v>5</v>
      </c>
    </row>
    <row r="5" customFormat="false" ht="15" hidden="false" customHeight="true" outlineLevel="0" collapsed="false">
      <c r="A5" s="10" t="s">
        <v>425</v>
      </c>
      <c r="D5" s="35" t="n">
        <f aca="false">(1-p_erosion)^(D4-1)</f>
        <v>1</v>
      </c>
      <c r="E5" s="35" t="n">
        <f aca="false">(1-p_erosion)^(E4-1)</f>
        <v>1</v>
      </c>
      <c r="F5" s="35" t="n">
        <f aca="false">(1-p_erosion)^(F4-1)</f>
        <v>1</v>
      </c>
      <c r="G5" s="35" t="n">
        <f aca="false">(1-p_erosion)^(G4-1)</f>
        <v>1</v>
      </c>
      <c r="H5" s="35" t="n">
        <f aca="false">(1-p_erosion)^(H4-1)</f>
        <v>1</v>
      </c>
      <c r="I5" s="35" t="n">
        <f aca="false">(1-p_erosion)^(I4-1)</f>
        <v>1</v>
      </c>
      <c r="J5" s="35" t="n">
        <f aca="false">(1-p_erosion)^(J4-1)</f>
        <v>1</v>
      </c>
      <c r="K5" s="35" t="n">
        <f aca="false">(1-p_erosion)^(K4-1)</f>
        <v>1</v>
      </c>
      <c r="L5" s="35" t="n">
        <f aca="false">(1-p_erosion)^(L4-1)</f>
        <v>1</v>
      </c>
      <c r="M5" s="35" t="n">
        <f aca="false">(1-p_erosion)^(M4-1)</f>
        <v>1</v>
      </c>
      <c r="N5" s="35" t="n">
        <f aca="false">(1-p_erosion)^(N4-1)</f>
        <v>1</v>
      </c>
      <c r="O5" s="35" t="n">
        <f aca="false">(1-p_erosion)^(O4-1)</f>
        <v>1</v>
      </c>
      <c r="P5" s="35" t="n">
        <f aca="false">(1-p_erosion)^(P4-1)</f>
        <v>0.97</v>
      </c>
      <c r="Q5" s="35" t="n">
        <f aca="false">(1-p_erosion)^(Q4-1)</f>
        <v>0.97</v>
      </c>
      <c r="R5" s="35" t="n">
        <f aca="false">(1-p_erosion)^(R4-1)</f>
        <v>0.97</v>
      </c>
      <c r="S5" s="35" t="n">
        <f aca="false">(1-p_erosion)^(S4-1)</f>
        <v>0.97</v>
      </c>
      <c r="T5" s="35" t="n">
        <f aca="false">(1-p_erosion)^(T4-1)</f>
        <v>0.97</v>
      </c>
      <c r="U5" s="35" t="n">
        <f aca="false">(1-p_erosion)^(U4-1)</f>
        <v>0.97</v>
      </c>
      <c r="V5" s="35" t="n">
        <f aca="false">(1-p_erosion)^(V4-1)</f>
        <v>0.97</v>
      </c>
      <c r="W5" s="35" t="n">
        <f aca="false">(1-p_erosion)^(W4-1)</f>
        <v>0.97</v>
      </c>
      <c r="X5" s="35" t="n">
        <f aca="false">(1-p_erosion)^(X4-1)</f>
        <v>0.97</v>
      </c>
      <c r="Y5" s="35" t="n">
        <f aca="false">(1-p_erosion)^(Y4-1)</f>
        <v>0.97</v>
      </c>
      <c r="Z5" s="35" t="n">
        <f aca="false">(1-p_erosion)^(Z4-1)</f>
        <v>0.97</v>
      </c>
      <c r="AA5" s="35" t="n">
        <f aca="false">(1-p_erosion)^(AA4-1)</f>
        <v>0.97</v>
      </c>
      <c r="AB5" s="35" t="n">
        <f aca="false">(1-p_erosion)^(AB4-1)</f>
        <v>0.9409</v>
      </c>
      <c r="AC5" s="35" t="n">
        <f aca="false">(1-p_erosion)^(AC4-1)</f>
        <v>0.9409</v>
      </c>
      <c r="AD5" s="35" t="n">
        <f aca="false">(1-p_erosion)^(AD4-1)</f>
        <v>0.9409</v>
      </c>
      <c r="AE5" s="35" t="n">
        <f aca="false">(1-p_erosion)^(AE4-1)</f>
        <v>0.9409</v>
      </c>
      <c r="AF5" s="35" t="n">
        <f aca="false">(1-p_erosion)^(AF4-1)</f>
        <v>0.9409</v>
      </c>
      <c r="AG5" s="35" t="n">
        <f aca="false">(1-p_erosion)^(AG4-1)</f>
        <v>0.9409</v>
      </c>
      <c r="AH5" s="35" t="n">
        <f aca="false">(1-p_erosion)^(AH4-1)</f>
        <v>0.9409</v>
      </c>
      <c r="AI5" s="35" t="n">
        <f aca="false">(1-p_erosion)^(AI4-1)</f>
        <v>0.9409</v>
      </c>
      <c r="AJ5" s="35" t="n">
        <f aca="false">(1-p_erosion)^(AJ4-1)</f>
        <v>0.9409</v>
      </c>
      <c r="AK5" s="35" t="n">
        <f aca="false">(1-p_erosion)^(AK4-1)</f>
        <v>0.9409</v>
      </c>
      <c r="AL5" s="35" t="n">
        <f aca="false">(1-p_erosion)^(AL4-1)</f>
        <v>0.9409</v>
      </c>
      <c r="AM5" s="35" t="n">
        <f aca="false">(1-p_erosion)^(AM4-1)</f>
        <v>0.9409</v>
      </c>
      <c r="AN5" s="35" t="n">
        <f aca="false">(1-p_erosion)^(AN4-1)</f>
        <v>0.912673</v>
      </c>
      <c r="AO5" s="35" t="n">
        <f aca="false">(1-p_erosion)^(AO4-1)</f>
        <v>0.912673</v>
      </c>
      <c r="AP5" s="35" t="n">
        <f aca="false">(1-p_erosion)^(AP4-1)</f>
        <v>0.912673</v>
      </c>
      <c r="AQ5" s="35" t="n">
        <f aca="false">(1-p_erosion)^(AQ4-1)</f>
        <v>0.912673</v>
      </c>
      <c r="AR5" s="35" t="n">
        <f aca="false">(1-p_erosion)^(AR4-1)</f>
        <v>0.912673</v>
      </c>
      <c r="AS5" s="35" t="n">
        <f aca="false">(1-p_erosion)^(AS4-1)</f>
        <v>0.912673</v>
      </c>
      <c r="AT5" s="35" t="n">
        <f aca="false">(1-p_erosion)^(AT4-1)</f>
        <v>0.912673</v>
      </c>
      <c r="AU5" s="35" t="n">
        <f aca="false">(1-p_erosion)^(AU4-1)</f>
        <v>0.912673</v>
      </c>
      <c r="AV5" s="35" t="n">
        <f aca="false">(1-p_erosion)^(AV4-1)</f>
        <v>0.912673</v>
      </c>
      <c r="AW5" s="35" t="n">
        <f aca="false">(1-p_erosion)^(AW4-1)</f>
        <v>0.912673</v>
      </c>
      <c r="AX5" s="35" t="n">
        <f aca="false">(1-p_erosion)^(AX4-1)</f>
        <v>0.912673</v>
      </c>
      <c r="AY5" s="35" t="n">
        <f aca="false">(1-p_erosion)^(AY4-1)</f>
        <v>0.912673</v>
      </c>
      <c r="AZ5" s="35" t="n">
        <f aca="false">(1-p_erosion)^(AZ4-1)</f>
        <v>0.88529281</v>
      </c>
      <c r="BA5" s="35" t="n">
        <f aca="false">(1-p_erosion)^(BA4-1)</f>
        <v>0.88529281</v>
      </c>
      <c r="BB5" s="35" t="n">
        <f aca="false">(1-p_erosion)^(BB4-1)</f>
        <v>0.88529281</v>
      </c>
      <c r="BC5" s="35" t="n">
        <f aca="false">(1-p_erosion)^(BC4-1)</f>
        <v>0.88529281</v>
      </c>
      <c r="BD5" s="35" t="n">
        <f aca="false">(1-p_erosion)^(BD4-1)</f>
        <v>0.88529281</v>
      </c>
      <c r="BE5" s="35" t="n">
        <f aca="false">(1-p_erosion)^(BE4-1)</f>
        <v>0.88529281</v>
      </c>
      <c r="BF5" s="35" t="n">
        <f aca="false">(1-p_erosion)^(BF4-1)</f>
        <v>0.88529281</v>
      </c>
      <c r="BG5" s="35" t="n">
        <f aca="false">(1-p_erosion)^(BG4-1)</f>
        <v>0.88529281</v>
      </c>
      <c r="BH5" s="35" t="n">
        <f aca="false">(1-p_erosion)^(BH4-1)</f>
        <v>0.88529281</v>
      </c>
      <c r="BI5" s="35" t="n">
        <f aca="false">(1-p_erosion)^(BI4-1)</f>
        <v>0.88529281</v>
      </c>
      <c r="BJ5" s="35" t="n">
        <f aca="false">(1-p_erosion)^(BJ4-1)</f>
        <v>0.88529281</v>
      </c>
      <c r="BK5" s="35" t="n">
        <f aca="false">(1-p_erosion)^(BK4-1)</f>
        <v>0.88529281</v>
      </c>
      <c r="BL5" s="35" t="n">
        <f aca="false">(1-p_erosion)^(BL4-1)</f>
        <v>0.88529281</v>
      </c>
    </row>
    <row r="6" customFormat="false" ht="15" hidden="false" customHeight="true" outlineLevel="0" collapsed="false">
      <c r="A6" s="10" t="s">
        <v>426</v>
      </c>
      <c r="D6" s="29" t="n">
        <f aca="false">IF(D$3&lt;=ROUND(p_stop_det,0),1,0)</f>
        <v>1</v>
      </c>
      <c r="E6" s="29" t="n">
        <f aca="false">IF(E$3&lt;=ROUND(p_stop_det,0),1,0)</f>
        <v>1</v>
      </c>
      <c r="F6" s="29" t="n">
        <f aca="false">IF(F$3&lt;=ROUND(p_stop_det,0),1,0)</f>
        <v>1</v>
      </c>
      <c r="G6" s="29" t="n">
        <f aca="false">IF(G$3&lt;=ROUND(p_stop_det,0),1,0)</f>
        <v>1</v>
      </c>
      <c r="H6" s="29" t="n">
        <f aca="false">IF(H$3&lt;=ROUND(p_stop_det,0),1,0)</f>
        <v>1</v>
      </c>
      <c r="I6" s="29" t="n">
        <f aca="false">IF(I$3&lt;=ROUND(p_stop_det,0),1,0)</f>
        <v>1</v>
      </c>
      <c r="J6" s="29" t="n">
        <f aca="false">IF(J$3&lt;=ROUND(p_stop_det,0),1,0)</f>
        <v>1</v>
      </c>
      <c r="K6" s="29" t="n">
        <f aca="false">IF(K$3&lt;=ROUND(p_stop_det,0),1,0)</f>
        <v>1</v>
      </c>
      <c r="L6" s="29" t="n">
        <f aca="false">IF(L$3&lt;=ROUND(p_stop_det,0),1,0)</f>
        <v>1</v>
      </c>
      <c r="M6" s="29" t="n">
        <f aca="false">IF(M$3&lt;=ROUND(p_stop_det,0),1,0)</f>
        <v>1</v>
      </c>
      <c r="N6" s="29" t="n">
        <f aca="false">IF(N$3&lt;=ROUND(p_stop_det,0),1,0)</f>
        <v>1</v>
      </c>
      <c r="O6" s="29" t="n">
        <f aca="false">IF(O$3&lt;=ROUND(p_stop_det,0),1,0)</f>
        <v>1</v>
      </c>
      <c r="P6" s="29" t="n">
        <f aca="false">IF(P$3&lt;=ROUND(p_stop_det,0),1,0)</f>
        <v>1</v>
      </c>
      <c r="Q6" s="29" t="n">
        <f aca="false">IF(Q$3&lt;=ROUND(p_stop_det,0),1,0)</f>
        <v>1</v>
      </c>
      <c r="R6" s="29" t="n">
        <f aca="false">IF(R$3&lt;=ROUND(p_stop_det,0),1,0)</f>
        <v>1</v>
      </c>
      <c r="S6" s="29" t="n">
        <f aca="false">IF(S$3&lt;=ROUND(p_stop_det,0),1,0)</f>
        <v>1</v>
      </c>
      <c r="T6" s="29" t="n">
        <f aca="false">IF(T$3&lt;=ROUND(p_stop_det,0),1,0)</f>
        <v>1</v>
      </c>
      <c r="U6" s="29" t="n">
        <f aca="false">IF(U$3&lt;=ROUND(p_stop_det,0),1,0)</f>
        <v>1</v>
      </c>
      <c r="V6" s="29" t="n">
        <f aca="false">IF(V$3&lt;=ROUND(p_stop_det,0),1,0)</f>
        <v>1</v>
      </c>
      <c r="W6" s="29" t="n">
        <f aca="false">IF(W$3&lt;=ROUND(p_stop_det,0),1,0)</f>
        <v>1</v>
      </c>
      <c r="X6" s="29" t="n">
        <f aca="false">IF(X$3&lt;=ROUND(p_stop_det,0),1,0)</f>
        <v>1</v>
      </c>
      <c r="Y6" s="29" t="n">
        <f aca="false">IF(Y$3&lt;=ROUND(p_stop_det,0),1,0)</f>
        <v>1</v>
      </c>
      <c r="Z6" s="29" t="n">
        <f aca="false">IF(Z$3&lt;=ROUND(p_stop_det,0),1,0)</f>
        <v>1</v>
      </c>
      <c r="AA6" s="29" t="n">
        <f aca="false">IF(AA$3&lt;=ROUND(p_stop_det,0),1,0)</f>
        <v>1</v>
      </c>
      <c r="AB6" s="29" t="n">
        <f aca="false">IF(AB$3&lt;=ROUND(p_stop_det,0),1,0)</f>
        <v>1</v>
      </c>
      <c r="AC6" s="29" t="n">
        <f aca="false">IF(AC$3&lt;=ROUND(p_stop_det,0),1,0)</f>
        <v>1</v>
      </c>
      <c r="AD6" s="29" t="n">
        <f aca="false">IF(AD$3&lt;=ROUND(p_stop_det,0),1,0)</f>
        <v>1</v>
      </c>
      <c r="AE6" s="29" t="n">
        <f aca="false">IF(AE$3&lt;=ROUND(p_stop_det,0),1,0)</f>
        <v>1</v>
      </c>
      <c r="AF6" s="29" t="n">
        <f aca="false">IF(AF$3&lt;=ROUND(p_stop_det,0),1,0)</f>
        <v>1</v>
      </c>
      <c r="AG6" s="29" t="n">
        <f aca="false">IF(AG$3&lt;=ROUND(p_stop_det,0),1,0)</f>
        <v>1</v>
      </c>
      <c r="AH6" s="29" t="n">
        <f aca="false">IF(AH$3&lt;=ROUND(p_stop_det,0),1,0)</f>
        <v>1</v>
      </c>
      <c r="AI6" s="29" t="n">
        <f aca="false">IF(AI$3&lt;=ROUND(p_stop_det,0),1,0)</f>
        <v>1</v>
      </c>
      <c r="AJ6" s="29" t="n">
        <f aca="false">IF(AJ$3&lt;=ROUND(p_stop_det,0),1,0)</f>
        <v>1</v>
      </c>
      <c r="AK6" s="29" t="n">
        <f aca="false">IF(AK$3&lt;=ROUND(p_stop_det,0),1,0)</f>
        <v>1</v>
      </c>
      <c r="AL6" s="29" t="n">
        <f aca="false">IF(AL$3&lt;=ROUND(p_stop_det,0),1,0)</f>
        <v>1</v>
      </c>
      <c r="AM6" s="29" t="n">
        <f aca="false">IF(AM$3&lt;=ROUND(p_stop_det,0),1,0)</f>
        <v>1</v>
      </c>
      <c r="AN6" s="29" t="n">
        <f aca="false">IF(AN$3&lt;=ROUND(p_stop_det,0),1,0)</f>
        <v>1</v>
      </c>
      <c r="AO6" s="29" t="n">
        <f aca="false">IF(AO$3&lt;=ROUND(p_stop_det,0),1,0)</f>
        <v>1</v>
      </c>
      <c r="AP6" s="29" t="n">
        <f aca="false">IF(AP$3&lt;=ROUND(p_stop_det,0),1,0)</f>
        <v>1</v>
      </c>
      <c r="AQ6" s="29" t="n">
        <f aca="false">IF(AQ$3&lt;=ROUND(p_stop_det,0),1,0)</f>
        <v>1</v>
      </c>
      <c r="AR6" s="29" t="n">
        <f aca="false">IF(AR$3&lt;=ROUND(p_stop_det,0),1,0)</f>
        <v>1</v>
      </c>
      <c r="AS6" s="29" t="n">
        <f aca="false">IF(AS$3&lt;=ROUND(p_stop_det,0),1,0)</f>
        <v>1</v>
      </c>
      <c r="AT6" s="29" t="n">
        <f aca="false">IF(AT$3&lt;=ROUND(p_stop_det,0),1,0)</f>
        <v>1</v>
      </c>
      <c r="AU6" s="29" t="n">
        <f aca="false">IF(AU$3&lt;=ROUND(p_stop_det,0),1,0)</f>
        <v>1</v>
      </c>
      <c r="AV6" s="29" t="n">
        <f aca="false">IF(AV$3&lt;=ROUND(p_stop_det,0),1,0)</f>
        <v>1</v>
      </c>
      <c r="AW6" s="29" t="n">
        <f aca="false">IF(AW$3&lt;=ROUND(p_stop_det,0),1,0)</f>
        <v>1</v>
      </c>
      <c r="AX6" s="29" t="n">
        <f aca="false">IF(AX$3&lt;=ROUND(p_stop_det,0),1,0)</f>
        <v>1</v>
      </c>
      <c r="AY6" s="29" t="n">
        <f aca="false">IF(AY$3&lt;=ROUND(p_stop_det,0),1,0)</f>
        <v>1</v>
      </c>
      <c r="AZ6" s="29" t="n">
        <f aca="false">IF(AZ$3&lt;=ROUND(p_stop_det,0),1,0)</f>
        <v>1</v>
      </c>
      <c r="BA6" s="29" t="n">
        <f aca="false">IF(BA$3&lt;=ROUND(p_stop_det,0),1,0)</f>
        <v>1</v>
      </c>
      <c r="BB6" s="29" t="n">
        <f aca="false">IF(BB$3&lt;=ROUND(p_stop_det,0),1,0)</f>
        <v>1</v>
      </c>
      <c r="BC6" s="29" t="n">
        <f aca="false">IF(BC$3&lt;=ROUND(p_stop_det,0),1,0)</f>
        <v>1</v>
      </c>
      <c r="BD6" s="29" t="n">
        <f aca="false">IF(BD$3&lt;=ROUND(p_stop_det,0),1,0)</f>
        <v>1</v>
      </c>
      <c r="BE6" s="29" t="n">
        <f aca="false">IF(BE$3&lt;=ROUND(p_stop_det,0),1,0)</f>
        <v>1</v>
      </c>
      <c r="BF6" s="29" t="n">
        <f aca="false">IF(BF$3&lt;=ROUND(p_stop_det,0),1,0)</f>
        <v>1</v>
      </c>
      <c r="BG6" s="29" t="n">
        <f aca="false">IF(BG$3&lt;=ROUND(p_stop_det,0),1,0)</f>
        <v>1</v>
      </c>
      <c r="BH6" s="29" t="n">
        <f aca="false">IF(BH$3&lt;=ROUND(p_stop_det,0),1,0)</f>
        <v>1</v>
      </c>
      <c r="BI6" s="29" t="n">
        <f aca="false">IF(BI$3&lt;=ROUND(p_stop_det,0),1,0)</f>
        <v>1</v>
      </c>
      <c r="BJ6" s="29" t="n">
        <f aca="false">IF(BJ$3&lt;=ROUND(p_stop_det,0),1,0)</f>
        <v>1</v>
      </c>
      <c r="BK6" s="29" t="n">
        <f aca="false">IF(BK$3&lt;=ROUND(p_stop_det,0),1,0)</f>
        <v>1</v>
      </c>
      <c r="BL6" s="29" t="n">
        <f aca="false">IF(BL$3&lt;=ROUND(p_stop_det,0),1,0)</f>
        <v>1</v>
      </c>
    </row>
    <row r="7" customFormat="false" ht="15" hidden="false" customHeight="true" outlineLevel="0" collapsed="false">
      <c r="A7" s="10" t="s">
        <v>427</v>
      </c>
      <c r="D7" s="19" t="n">
        <f aca="false">MAX(0,MIN(1,(D$3-c_first_dec+1)/p_ramp_m))</f>
        <v>0</v>
      </c>
      <c r="E7" s="19" t="n">
        <f aca="false">MAX(0,MIN(1,(E$3-c_first_dec+1)/p_ramp_m))</f>
        <v>0</v>
      </c>
      <c r="F7" s="19" t="n">
        <f aca="false">MAX(0,MIN(1,(F$3-c_first_dec+1)/p_ramp_m))</f>
        <v>0</v>
      </c>
      <c r="G7" s="19" t="n">
        <f aca="false">MAX(0,MIN(1,(G$3-c_first_dec+1)/p_ramp_m))</f>
        <v>0</v>
      </c>
      <c r="H7" s="19" t="n">
        <f aca="false">MAX(0,MIN(1,(H$3-c_first_dec+1)/p_ramp_m))</f>
        <v>0</v>
      </c>
      <c r="I7" s="19" t="n">
        <f aca="false">MAX(0,MIN(1,(I$3-c_first_dec+1)/p_ramp_m))</f>
        <v>0</v>
      </c>
      <c r="J7" s="19" t="n">
        <f aca="false">MAX(0,MIN(1,(J$3-c_first_dec+1)/p_ramp_m))</f>
        <v>0</v>
      </c>
      <c r="K7" s="19" t="n">
        <f aca="false">MAX(0,MIN(1,(K$3-c_first_dec+1)/p_ramp_m))</f>
        <v>0</v>
      </c>
      <c r="L7" s="19" t="n">
        <f aca="false">MAX(0,MIN(1,(L$3-c_first_dec+1)/p_ramp_m))</f>
        <v>0.0833333333333333</v>
      </c>
      <c r="M7" s="19" t="n">
        <f aca="false">MAX(0,MIN(1,(M$3-c_first_dec+1)/p_ramp_m))</f>
        <v>0.166666666666667</v>
      </c>
      <c r="N7" s="19" t="n">
        <f aca="false">MAX(0,MIN(1,(N$3-c_first_dec+1)/p_ramp_m))</f>
        <v>0.25</v>
      </c>
      <c r="O7" s="19" t="n">
        <f aca="false">MAX(0,MIN(1,(O$3-c_first_dec+1)/p_ramp_m))</f>
        <v>0.333333333333333</v>
      </c>
      <c r="P7" s="19" t="n">
        <f aca="false">MAX(0,MIN(1,(P$3-c_first_dec+1)/p_ramp_m))</f>
        <v>0.416666666666667</v>
      </c>
      <c r="Q7" s="19" t="n">
        <f aca="false">MAX(0,MIN(1,(Q$3-c_first_dec+1)/p_ramp_m))</f>
        <v>0.5</v>
      </c>
      <c r="R7" s="19" t="n">
        <f aca="false">MAX(0,MIN(1,(R$3-c_first_dec+1)/p_ramp_m))</f>
        <v>0.583333333333333</v>
      </c>
      <c r="S7" s="19" t="n">
        <f aca="false">MAX(0,MIN(1,(S$3-c_first_dec+1)/p_ramp_m))</f>
        <v>0.666666666666667</v>
      </c>
      <c r="T7" s="19" t="n">
        <f aca="false">MAX(0,MIN(1,(T$3-c_first_dec+1)/p_ramp_m))</f>
        <v>0.75</v>
      </c>
      <c r="U7" s="19" t="n">
        <f aca="false">MAX(0,MIN(1,(U$3-c_first_dec+1)/p_ramp_m))</f>
        <v>0.833333333333333</v>
      </c>
      <c r="V7" s="19" t="n">
        <f aca="false">MAX(0,MIN(1,(V$3-c_first_dec+1)/p_ramp_m))</f>
        <v>0.916666666666667</v>
      </c>
      <c r="W7" s="19" t="n">
        <f aca="false">MAX(0,MIN(1,(W$3-c_first_dec+1)/p_ramp_m))</f>
        <v>1</v>
      </c>
      <c r="X7" s="19" t="n">
        <f aca="false">MAX(0,MIN(1,(X$3-c_first_dec+1)/p_ramp_m))</f>
        <v>1</v>
      </c>
      <c r="Y7" s="19" t="n">
        <f aca="false">MAX(0,MIN(1,(Y$3-c_first_dec+1)/p_ramp_m))</f>
        <v>1</v>
      </c>
      <c r="Z7" s="19" t="n">
        <f aca="false">MAX(0,MIN(1,(Z$3-c_first_dec+1)/p_ramp_m))</f>
        <v>1</v>
      </c>
      <c r="AA7" s="19" t="n">
        <f aca="false">MAX(0,MIN(1,(AA$3-c_first_dec+1)/p_ramp_m))</f>
        <v>1</v>
      </c>
      <c r="AB7" s="19" t="n">
        <f aca="false">MAX(0,MIN(1,(AB$3-c_first_dec+1)/p_ramp_m))</f>
        <v>1</v>
      </c>
      <c r="AC7" s="19" t="n">
        <f aca="false">MAX(0,MIN(1,(AC$3-c_first_dec+1)/p_ramp_m))</f>
        <v>1</v>
      </c>
      <c r="AD7" s="19" t="n">
        <f aca="false">MAX(0,MIN(1,(AD$3-c_first_dec+1)/p_ramp_m))</f>
        <v>1</v>
      </c>
      <c r="AE7" s="19" t="n">
        <f aca="false">MAX(0,MIN(1,(AE$3-c_first_dec+1)/p_ramp_m))</f>
        <v>1</v>
      </c>
      <c r="AF7" s="19" t="n">
        <f aca="false">MAX(0,MIN(1,(AF$3-c_first_dec+1)/p_ramp_m))</f>
        <v>1</v>
      </c>
      <c r="AG7" s="19" t="n">
        <f aca="false">MAX(0,MIN(1,(AG$3-c_first_dec+1)/p_ramp_m))</f>
        <v>1</v>
      </c>
      <c r="AH7" s="19" t="n">
        <f aca="false">MAX(0,MIN(1,(AH$3-c_first_dec+1)/p_ramp_m))</f>
        <v>1</v>
      </c>
      <c r="AI7" s="19" t="n">
        <f aca="false">MAX(0,MIN(1,(AI$3-c_first_dec+1)/p_ramp_m))</f>
        <v>1</v>
      </c>
      <c r="AJ7" s="19" t="n">
        <f aca="false">MAX(0,MIN(1,(AJ$3-c_first_dec+1)/p_ramp_m))</f>
        <v>1</v>
      </c>
      <c r="AK7" s="19" t="n">
        <f aca="false">MAX(0,MIN(1,(AK$3-c_first_dec+1)/p_ramp_m))</f>
        <v>1</v>
      </c>
      <c r="AL7" s="19" t="n">
        <f aca="false">MAX(0,MIN(1,(AL$3-c_first_dec+1)/p_ramp_m))</f>
        <v>1</v>
      </c>
      <c r="AM7" s="19" t="n">
        <f aca="false">MAX(0,MIN(1,(AM$3-c_first_dec+1)/p_ramp_m))</f>
        <v>1</v>
      </c>
      <c r="AN7" s="19" t="n">
        <f aca="false">MAX(0,MIN(1,(AN$3-c_first_dec+1)/p_ramp_m))</f>
        <v>1</v>
      </c>
      <c r="AO7" s="19" t="n">
        <f aca="false">MAX(0,MIN(1,(AO$3-c_first_dec+1)/p_ramp_m))</f>
        <v>1</v>
      </c>
      <c r="AP7" s="19" t="n">
        <f aca="false">MAX(0,MIN(1,(AP$3-c_first_dec+1)/p_ramp_m))</f>
        <v>1</v>
      </c>
      <c r="AQ7" s="19" t="n">
        <f aca="false">MAX(0,MIN(1,(AQ$3-c_first_dec+1)/p_ramp_m))</f>
        <v>1</v>
      </c>
      <c r="AR7" s="19" t="n">
        <f aca="false">MAX(0,MIN(1,(AR$3-c_first_dec+1)/p_ramp_m))</f>
        <v>1</v>
      </c>
      <c r="AS7" s="19" t="n">
        <f aca="false">MAX(0,MIN(1,(AS$3-c_first_dec+1)/p_ramp_m))</f>
        <v>1</v>
      </c>
      <c r="AT7" s="19" t="n">
        <f aca="false">MAX(0,MIN(1,(AT$3-c_first_dec+1)/p_ramp_m))</f>
        <v>1</v>
      </c>
      <c r="AU7" s="19" t="n">
        <f aca="false">MAX(0,MIN(1,(AU$3-c_first_dec+1)/p_ramp_m))</f>
        <v>1</v>
      </c>
      <c r="AV7" s="19" t="n">
        <f aca="false">MAX(0,MIN(1,(AV$3-c_first_dec+1)/p_ramp_m))</f>
        <v>1</v>
      </c>
      <c r="AW7" s="19" t="n">
        <f aca="false">MAX(0,MIN(1,(AW$3-c_first_dec+1)/p_ramp_m))</f>
        <v>1</v>
      </c>
      <c r="AX7" s="19" t="n">
        <f aca="false">MAX(0,MIN(1,(AX$3-c_first_dec+1)/p_ramp_m))</f>
        <v>1</v>
      </c>
      <c r="AY7" s="19" t="n">
        <f aca="false">MAX(0,MIN(1,(AY$3-c_first_dec+1)/p_ramp_m))</f>
        <v>1</v>
      </c>
      <c r="AZ7" s="19" t="n">
        <f aca="false">MAX(0,MIN(1,(AZ$3-c_first_dec+1)/p_ramp_m))</f>
        <v>1</v>
      </c>
      <c r="BA7" s="19" t="n">
        <f aca="false">MAX(0,MIN(1,(BA$3-c_first_dec+1)/p_ramp_m))</f>
        <v>1</v>
      </c>
      <c r="BB7" s="19" t="n">
        <f aca="false">MAX(0,MIN(1,(BB$3-c_first_dec+1)/p_ramp_m))</f>
        <v>1</v>
      </c>
      <c r="BC7" s="19" t="n">
        <f aca="false">MAX(0,MIN(1,(BC$3-c_first_dec+1)/p_ramp_m))</f>
        <v>1</v>
      </c>
      <c r="BD7" s="19" t="n">
        <f aca="false">MAX(0,MIN(1,(BD$3-c_first_dec+1)/p_ramp_m))</f>
        <v>1</v>
      </c>
      <c r="BE7" s="19" t="n">
        <f aca="false">MAX(0,MIN(1,(BE$3-c_first_dec+1)/p_ramp_m))</f>
        <v>1</v>
      </c>
      <c r="BF7" s="19" t="n">
        <f aca="false">MAX(0,MIN(1,(BF$3-c_first_dec+1)/p_ramp_m))</f>
        <v>1</v>
      </c>
      <c r="BG7" s="19" t="n">
        <f aca="false">MAX(0,MIN(1,(BG$3-c_first_dec+1)/p_ramp_m))</f>
        <v>1</v>
      </c>
      <c r="BH7" s="19" t="n">
        <f aca="false">MAX(0,MIN(1,(BH$3-c_first_dec+1)/p_ramp_m))</f>
        <v>1</v>
      </c>
      <c r="BI7" s="19" t="n">
        <f aca="false">MAX(0,MIN(1,(BI$3-c_first_dec+1)/p_ramp_m))</f>
        <v>1</v>
      </c>
      <c r="BJ7" s="19" t="n">
        <f aca="false">MAX(0,MIN(1,(BJ$3-c_first_dec+1)/p_ramp_m))</f>
        <v>1</v>
      </c>
      <c r="BK7" s="19" t="n">
        <f aca="false">MAX(0,MIN(1,(BK$3-c_first_dec+1)/p_ramp_m))</f>
        <v>1</v>
      </c>
      <c r="BL7" s="19" t="n">
        <f aca="false">MAX(0,MIN(1,(BL$3-c_first_dec+1)/p_ramp_m))</f>
        <v>1</v>
      </c>
    </row>
    <row r="8" customFormat="false" ht="15" hidden="false" customHeight="true" outlineLevel="0" collapsed="false">
      <c r="A8" s="10" t="s">
        <v>428</v>
      </c>
      <c r="D8" s="19" t="n">
        <f aca="false">MAX(0,MIN(1,(D$3-c_first_dec2+1)/p_ramp_m))</f>
        <v>0</v>
      </c>
      <c r="E8" s="19" t="n">
        <f aca="false">MAX(0,MIN(1,(E$3-c_first_dec2+1)/p_ramp_m))</f>
        <v>0</v>
      </c>
      <c r="F8" s="19" t="n">
        <f aca="false">MAX(0,MIN(1,(F$3-c_first_dec2+1)/p_ramp_m))</f>
        <v>0</v>
      </c>
      <c r="G8" s="19" t="n">
        <f aca="false">MAX(0,MIN(1,(G$3-c_first_dec2+1)/p_ramp_m))</f>
        <v>0</v>
      </c>
      <c r="H8" s="19" t="n">
        <f aca="false">MAX(0,MIN(1,(H$3-c_first_dec2+1)/p_ramp_m))</f>
        <v>0</v>
      </c>
      <c r="I8" s="19" t="n">
        <f aca="false">MAX(0,MIN(1,(I$3-c_first_dec2+1)/p_ramp_m))</f>
        <v>0</v>
      </c>
      <c r="J8" s="19" t="n">
        <f aca="false">MAX(0,MIN(1,(J$3-c_first_dec2+1)/p_ramp_m))</f>
        <v>0</v>
      </c>
      <c r="K8" s="19" t="n">
        <f aca="false">MAX(0,MIN(1,(K$3-c_first_dec2+1)/p_ramp_m))</f>
        <v>0</v>
      </c>
      <c r="L8" s="19" t="n">
        <f aca="false">MAX(0,MIN(1,(L$3-c_first_dec2+1)/p_ramp_m))</f>
        <v>0</v>
      </c>
      <c r="M8" s="19" t="n">
        <f aca="false">MAX(0,MIN(1,(M$3-c_first_dec2+1)/p_ramp_m))</f>
        <v>0</v>
      </c>
      <c r="N8" s="19" t="n">
        <f aca="false">MAX(0,MIN(1,(N$3-c_first_dec2+1)/p_ramp_m))</f>
        <v>0</v>
      </c>
      <c r="O8" s="19" t="n">
        <f aca="false">MAX(0,MIN(1,(O$3-c_first_dec2+1)/p_ramp_m))</f>
        <v>0</v>
      </c>
      <c r="P8" s="19" t="n">
        <f aca="false">MAX(0,MIN(1,(P$3-c_first_dec2+1)/p_ramp_m))</f>
        <v>0</v>
      </c>
      <c r="Q8" s="19" t="n">
        <f aca="false">MAX(0,MIN(1,(Q$3-c_first_dec2+1)/p_ramp_m))</f>
        <v>0</v>
      </c>
      <c r="R8" s="19" t="n">
        <f aca="false">MAX(0,MIN(1,(R$3-c_first_dec2+1)/p_ramp_m))</f>
        <v>0</v>
      </c>
      <c r="S8" s="19" t="n">
        <f aca="false">MAX(0,MIN(1,(S$3-c_first_dec2+1)/p_ramp_m))</f>
        <v>0</v>
      </c>
      <c r="T8" s="19" t="n">
        <f aca="false">MAX(0,MIN(1,(T$3-c_first_dec2+1)/p_ramp_m))</f>
        <v>0</v>
      </c>
      <c r="U8" s="19" t="n">
        <f aca="false">MAX(0,MIN(1,(U$3-c_first_dec2+1)/p_ramp_m))</f>
        <v>0</v>
      </c>
      <c r="V8" s="19" t="n">
        <f aca="false">MAX(0,MIN(1,(V$3-c_first_dec2+1)/p_ramp_m))</f>
        <v>0</v>
      </c>
      <c r="W8" s="19" t="n">
        <f aca="false">MAX(0,MIN(1,(W$3-c_first_dec2+1)/p_ramp_m))</f>
        <v>0</v>
      </c>
      <c r="X8" s="19" t="n">
        <f aca="false">MAX(0,MIN(1,(X$3-c_first_dec2+1)/p_ramp_m))</f>
        <v>0</v>
      </c>
      <c r="Y8" s="19" t="n">
        <f aca="false">MAX(0,MIN(1,(Y$3-c_first_dec2+1)/p_ramp_m))</f>
        <v>0</v>
      </c>
      <c r="Z8" s="19" t="n">
        <f aca="false">MAX(0,MIN(1,(Z$3-c_first_dec2+1)/p_ramp_m))</f>
        <v>0</v>
      </c>
      <c r="AA8" s="19" t="n">
        <f aca="false">MAX(0,MIN(1,(AA$3-c_first_dec2+1)/p_ramp_m))</f>
        <v>0.0833333333333333</v>
      </c>
      <c r="AB8" s="19" t="n">
        <f aca="false">MAX(0,MIN(1,(AB$3-c_first_dec2+1)/p_ramp_m))</f>
        <v>0.166666666666667</v>
      </c>
      <c r="AC8" s="19" t="n">
        <f aca="false">MAX(0,MIN(1,(AC$3-c_first_dec2+1)/p_ramp_m))</f>
        <v>0.25</v>
      </c>
      <c r="AD8" s="19" t="n">
        <f aca="false">MAX(0,MIN(1,(AD$3-c_first_dec2+1)/p_ramp_m))</f>
        <v>0.333333333333333</v>
      </c>
      <c r="AE8" s="19" t="n">
        <f aca="false">MAX(0,MIN(1,(AE$3-c_first_dec2+1)/p_ramp_m))</f>
        <v>0.416666666666667</v>
      </c>
      <c r="AF8" s="19" t="n">
        <f aca="false">MAX(0,MIN(1,(AF$3-c_first_dec2+1)/p_ramp_m))</f>
        <v>0.5</v>
      </c>
      <c r="AG8" s="19" t="n">
        <f aca="false">MAX(0,MIN(1,(AG$3-c_first_dec2+1)/p_ramp_m))</f>
        <v>0.583333333333333</v>
      </c>
      <c r="AH8" s="19" t="n">
        <f aca="false">MAX(0,MIN(1,(AH$3-c_first_dec2+1)/p_ramp_m))</f>
        <v>0.666666666666667</v>
      </c>
      <c r="AI8" s="19" t="n">
        <f aca="false">MAX(0,MIN(1,(AI$3-c_first_dec2+1)/p_ramp_m))</f>
        <v>0.75</v>
      </c>
      <c r="AJ8" s="19" t="n">
        <f aca="false">MAX(0,MIN(1,(AJ$3-c_first_dec2+1)/p_ramp_m))</f>
        <v>0.833333333333333</v>
      </c>
      <c r="AK8" s="19" t="n">
        <f aca="false">MAX(0,MIN(1,(AK$3-c_first_dec2+1)/p_ramp_m))</f>
        <v>0.916666666666667</v>
      </c>
      <c r="AL8" s="19" t="n">
        <f aca="false">MAX(0,MIN(1,(AL$3-c_first_dec2+1)/p_ramp_m))</f>
        <v>1</v>
      </c>
      <c r="AM8" s="19" t="n">
        <f aca="false">MAX(0,MIN(1,(AM$3-c_first_dec2+1)/p_ramp_m))</f>
        <v>1</v>
      </c>
      <c r="AN8" s="19" t="n">
        <f aca="false">MAX(0,MIN(1,(AN$3-c_first_dec2+1)/p_ramp_m))</f>
        <v>1</v>
      </c>
      <c r="AO8" s="19" t="n">
        <f aca="false">MAX(0,MIN(1,(AO$3-c_first_dec2+1)/p_ramp_m))</f>
        <v>1</v>
      </c>
      <c r="AP8" s="19" t="n">
        <f aca="false">MAX(0,MIN(1,(AP$3-c_first_dec2+1)/p_ramp_m))</f>
        <v>1</v>
      </c>
      <c r="AQ8" s="19" t="n">
        <f aca="false">MAX(0,MIN(1,(AQ$3-c_first_dec2+1)/p_ramp_m))</f>
        <v>1</v>
      </c>
      <c r="AR8" s="19" t="n">
        <f aca="false">MAX(0,MIN(1,(AR$3-c_first_dec2+1)/p_ramp_m))</f>
        <v>1</v>
      </c>
      <c r="AS8" s="19" t="n">
        <f aca="false">MAX(0,MIN(1,(AS$3-c_first_dec2+1)/p_ramp_m))</f>
        <v>1</v>
      </c>
      <c r="AT8" s="19" t="n">
        <f aca="false">MAX(0,MIN(1,(AT$3-c_first_dec2+1)/p_ramp_m))</f>
        <v>1</v>
      </c>
      <c r="AU8" s="19" t="n">
        <f aca="false">MAX(0,MIN(1,(AU$3-c_first_dec2+1)/p_ramp_m))</f>
        <v>1</v>
      </c>
      <c r="AV8" s="19" t="n">
        <f aca="false">MAX(0,MIN(1,(AV$3-c_first_dec2+1)/p_ramp_m))</f>
        <v>1</v>
      </c>
      <c r="AW8" s="19" t="n">
        <f aca="false">MAX(0,MIN(1,(AW$3-c_first_dec2+1)/p_ramp_m))</f>
        <v>1</v>
      </c>
      <c r="AX8" s="19" t="n">
        <f aca="false">MAX(0,MIN(1,(AX$3-c_first_dec2+1)/p_ramp_m))</f>
        <v>1</v>
      </c>
      <c r="AY8" s="19" t="n">
        <f aca="false">MAX(0,MIN(1,(AY$3-c_first_dec2+1)/p_ramp_m))</f>
        <v>1</v>
      </c>
      <c r="AZ8" s="19" t="n">
        <f aca="false">MAX(0,MIN(1,(AZ$3-c_first_dec2+1)/p_ramp_m))</f>
        <v>1</v>
      </c>
      <c r="BA8" s="19" t="n">
        <f aca="false">MAX(0,MIN(1,(BA$3-c_first_dec2+1)/p_ramp_m))</f>
        <v>1</v>
      </c>
      <c r="BB8" s="19" t="n">
        <f aca="false">MAX(0,MIN(1,(BB$3-c_first_dec2+1)/p_ramp_m))</f>
        <v>1</v>
      </c>
      <c r="BC8" s="19" t="n">
        <f aca="false">MAX(0,MIN(1,(BC$3-c_first_dec2+1)/p_ramp_m))</f>
        <v>1</v>
      </c>
      <c r="BD8" s="19" t="n">
        <f aca="false">MAX(0,MIN(1,(BD$3-c_first_dec2+1)/p_ramp_m))</f>
        <v>1</v>
      </c>
      <c r="BE8" s="19" t="n">
        <f aca="false">MAX(0,MIN(1,(BE$3-c_first_dec2+1)/p_ramp_m))</f>
        <v>1</v>
      </c>
      <c r="BF8" s="19" t="n">
        <f aca="false">MAX(0,MIN(1,(BF$3-c_first_dec2+1)/p_ramp_m))</f>
        <v>1</v>
      </c>
      <c r="BG8" s="19" t="n">
        <f aca="false">MAX(0,MIN(1,(BG$3-c_first_dec2+1)/p_ramp_m))</f>
        <v>1</v>
      </c>
      <c r="BH8" s="19" t="n">
        <f aca="false">MAX(0,MIN(1,(BH$3-c_first_dec2+1)/p_ramp_m))</f>
        <v>1</v>
      </c>
      <c r="BI8" s="19" t="n">
        <f aca="false">MAX(0,MIN(1,(BI$3-c_first_dec2+1)/p_ramp_m))</f>
        <v>1</v>
      </c>
      <c r="BJ8" s="19" t="n">
        <f aca="false">MAX(0,MIN(1,(BJ$3-c_first_dec2+1)/p_ramp_m))</f>
        <v>1</v>
      </c>
      <c r="BK8" s="19" t="n">
        <f aca="false">MAX(0,MIN(1,(BK$3-c_first_dec2+1)/p_ramp_m))</f>
        <v>1</v>
      </c>
      <c r="BL8" s="19" t="n">
        <f aca="false">MAX(0,MIN(1,(BL$3-c_first_dec2+1)/p_ramp_m))</f>
        <v>1</v>
      </c>
    </row>
    <row r="9" customFormat="false" ht="15" hidden="false" customHeight="true" outlineLevel="0" collapsed="false">
      <c r="A9" s="10" t="s">
        <v>429</v>
      </c>
      <c r="D9" s="29" t="n">
        <f aca="false">IF(D$3&gt;=c_cen_start,1,0)</f>
        <v>0</v>
      </c>
      <c r="E9" s="29" t="n">
        <f aca="false">IF(E$3&gt;=c_cen_start,1,0)</f>
        <v>0</v>
      </c>
      <c r="F9" s="29" t="n">
        <f aca="false">IF(F$3&gt;=c_cen_start,1,0)</f>
        <v>0</v>
      </c>
      <c r="G9" s="29" t="n">
        <f aca="false">IF(G$3&gt;=c_cen_start,1,0)</f>
        <v>0</v>
      </c>
      <c r="H9" s="29" t="n">
        <f aca="false">IF(H$3&gt;=c_cen_start,1,0)</f>
        <v>0</v>
      </c>
      <c r="I9" s="29" t="n">
        <f aca="false">IF(I$3&gt;=c_cen_start,1,0)</f>
        <v>0</v>
      </c>
      <c r="J9" s="29" t="n">
        <f aca="false">IF(J$3&gt;=c_cen_start,1,0)</f>
        <v>0</v>
      </c>
      <c r="K9" s="29" t="n">
        <f aca="false">IF(K$3&gt;=c_cen_start,1,0)</f>
        <v>0</v>
      </c>
      <c r="L9" s="29" t="n">
        <f aca="false">IF(L$3&gt;=c_cen_start,1,0)</f>
        <v>0</v>
      </c>
      <c r="M9" s="29" t="n">
        <f aca="false">IF(M$3&gt;=c_cen_start,1,0)</f>
        <v>0</v>
      </c>
      <c r="N9" s="29" t="n">
        <f aca="false">IF(N$3&gt;=c_cen_start,1,0)</f>
        <v>0</v>
      </c>
      <c r="O9" s="29" t="n">
        <f aca="false">IF(O$3&gt;=c_cen_start,1,0)</f>
        <v>0</v>
      </c>
      <c r="P9" s="29" t="n">
        <f aca="false">IF(P$3&gt;=c_cen_start,1,0)</f>
        <v>0</v>
      </c>
      <c r="Q9" s="29" t="n">
        <f aca="false">IF(Q$3&gt;=c_cen_start,1,0)</f>
        <v>0</v>
      </c>
      <c r="R9" s="29" t="n">
        <f aca="false">IF(R$3&gt;=c_cen_start,1,0)</f>
        <v>1</v>
      </c>
      <c r="S9" s="29" t="n">
        <f aca="false">IF(S$3&gt;=c_cen_start,1,0)</f>
        <v>1</v>
      </c>
      <c r="T9" s="29" t="n">
        <f aca="false">IF(T$3&gt;=c_cen_start,1,0)</f>
        <v>1</v>
      </c>
      <c r="U9" s="29" t="n">
        <f aca="false">IF(U$3&gt;=c_cen_start,1,0)</f>
        <v>1</v>
      </c>
      <c r="V9" s="29" t="n">
        <f aca="false">IF(V$3&gt;=c_cen_start,1,0)</f>
        <v>1</v>
      </c>
      <c r="W9" s="29" t="n">
        <f aca="false">IF(W$3&gt;=c_cen_start,1,0)</f>
        <v>1</v>
      </c>
      <c r="X9" s="29" t="n">
        <f aca="false">IF(X$3&gt;=c_cen_start,1,0)</f>
        <v>1</v>
      </c>
      <c r="Y9" s="29" t="n">
        <f aca="false">IF(Y$3&gt;=c_cen_start,1,0)</f>
        <v>1</v>
      </c>
      <c r="Z9" s="29" t="n">
        <f aca="false">IF(Z$3&gt;=c_cen_start,1,0)</f>
        <v>1</v>
      </c>
      <c r="AA9" s="29" t="n">
        <f aca="false">IF(AA$3&gt;=c_cen_start,1,0)</f>
        <v>1</v>
      </c>
      <c r="AB9" s="29" t="n">
        <f aca="false">IF(AB$3&gt;=c_cen_start,1,0)</f>
        <v>1</v>
      </c>
      <c r="AC9" s="29" t="n">
        <f aca="false">IF(AC$3&gt;=c_cen_start,1,0)</f>
        <v>1</v>
      </c>
      <c r="AD9" s="29" t="n">
        <f aca="false">IF(AD$3&gt;=c_cen_start,1,0)</f>
        <v>1</v>
      </c>
      <c r="AE9" s="29" t="n">
        <f aca="false">IF(AE$3&gt;=c_cen_start,1,0)</f>
        <v>1</v>
      </c>
      <c r="AF9" s="29" t="n">
        <f aca="false">IF(AF$3&gt;=c_cen_start,1,0)</f>
        <v>1</v>
      </c>
      <c r="AG9" s="29" t="n">
        <f aca="false">IF(AG$3&gt;=c_cen_start,1,0)</f>
        <v>1</v>
      </c>
      <c r="AH9" s="29" t="n">
        <f aca="false">IF(AH$3&gt;=c_cen_start,1,0)</f>
        <v>1</v>
      </c>
      <c r="AI9" s="29" t="n">
        <f aca="false">IF(AI$3&gt;=c_cen_start,1,0)</f>
        <v>1</v>
      </c>
      <c r="AJ9" s="29" t="n">
        <f aca="false">IF(AJ$3&gt;=c_cen_start,1,0)</f>
        <v>1</v>
      </c>
      <c r="AK9" s="29" t="n">
        <f aca="false">IF(AK$3&gt;=c_cen_start,1,0)</f>
        <v>1</v>
      </c>
      <c r="AL9" s="29" t="n">
        <f aca="false">IF(AL$3&gt;=c_cen_start,1,0)</f>
        <v>1</v>
      </c>
      <c r="AM9" s="29" t="n">
        <f aca="false">IF(AM$3&gt;=c_cen_start,1,0)</f>
        <v>1</v>
      </c>
      <c r="AN9" s="29" t="n">
        <f aca="false">IF(AN$3&gt;=c_cen_start,1,0)</f>
        <v>1</v>
      </c>
      <c r="AO9" s="29" t="n">
        <f aca="false">IF(AO$3&gt;=c_cen_start,1,0)</f>
        <v>1</v>
      </c>
      <c r="AP9" s="29" t="n">
        <f aca="false">IF(AP$3&gt;=c_cen_start,1,0)</f>
        <v>1</v>
      </c>
      <c r="AQ9" s="29" t="n">
        <f aca="false">IF(AQ$3&gt;=c_cen_start,1,0)</f>
        <v>1</v>
      </c>
      <c r="AR9" s="29" t="n">
        <f aca="false">IF(AR$3&gt;=c_cen_start,1,0)</f>
        <v>1</v>
      </c>
      <c r="AS9" s="29" t="n">
        <f aca="false">IF(AS$3&gt;=c_cen_start,1,0)</f>
        <v>1</v>
      </c>
      <c r="AT9" s="29" t="n">
        <f aca="false">IF(AT$3&gt;=c_cen_start,1,0)</f>
        <v>1</v>
      </c>
      <c r="AU9" s="29" t="n">
        <f aca="false">IF(AU$3&gt;=c_cen_start,1,0)</f>
        <v>1</v>
      </c>
      <c r="AV9" s="29" t="n">
        <f aca="false">IF(AV$3&gt;=c_cen_start,1,0)</f>
        <v>1</v>
      </c>
      <c r="AW9" s="29" t="n">
        <f aca="false">IF(AW$3&gt;=c_cen_start,1,0)</f>
        <v>1</v>
      </c>
      <c r="AX9" s="29" t="n">
        <f aca="false">IF(AX$3&gt;=c_cen_start,1,0)</f>
        <v>1</v>
      </c>
      <c r="AY9" s="29" t="n">
        <f aca="false">IF(AY$3&gt;=c_cen_start,1,0)</f>
        <v>1</v>
      </c>
      <c r="AZ9" s="29" t="n">
        <f aca="false">IF(AZ$3&gt;=c_cen_start,1,0)</f>
        <v>1</v>
      </c>
      <c r="BA9" s="29" t="n">
        <f aca="false">IF(BA$3&gt;=c_cen_start,1,0)</f>
        <v>1</v>
      </c>
      <c r="BB9" s="29" t="n">
        <f aca="false">IF(BB$3&gt;=c_cen_start,1,0)</f>
        <v>1</v>
      </c>
      <c r="BC9" s="29" t="n">
        <f aca="false">IF(BC$3&gt;=c_cen_start,1,0)</f>
        <v>1</v>
      </c>
      <c r="BD9" s="29" t="n">
        <f aca="false">IF(BD$3&gt;=c_cen_start,1,0)</f>
        <v>1</v>
      </c>
      <c r="BE9" s="29" t="n">
        <f aca="false">IF(BE$3&gt;=c_cen_start,1,0)</f>
        <v>1</v>
      </c>
      <c r="BF9" s="29" t="n">
        <f aca="false">IF(BF$3&gt;=c_cen_start,1,0)</f>
        <v>1</v>
      </c>
      <c r="BG9" s="29" t="n">
        <f aca="false">IF(BG$3&gt;=c_cen_start,1,0)</f>
        <v>1</v>
      </c>
      <c r="BH9" s="29" t="n">
        <f aca="false">IF(BH$3&gt;=c_cen_start,1,0)</f>
        <v>1</v>
      </c>
      <c r="BI9" s="29" t="n">
        <f aca="false">IF(BI$3&gt;=c_cen_start,1,0)</f>
        <v>1</v>
      </c>
      <c r="BJ9" s="29" t="n">
        <f aca="false">IF(BJ$3&gt;=c_cen_start,1,0)</f>
        <v>1</v>
      </c>
      <c r="BK9" s="29" t="n">
        <f aca="false">IF(BK$3&gt;=c_cen_start,1,0)</f>
        <v>1</v>
      </c>
      <c r="BL9" s="29" t="n">
        <f aca="false">IF(BL$3&gt;=c_cen_start,1,0)</f>
        <v>1</v>
      </c>
    </row>
    <row r="10" customFormat="false" ht="15" hidden="false" customHeight="true" outlineLevel="0" collapsed="false">
      <c r="A10" s="10" t="s">
        <v>430</v>
      </c>
      <c r="D10" s="29" t="n">
        <f aca="false">IF(D$3&gt;=MAX(c_cen_start,c_first_dec2),1,0)</f>
        <v>0</v>
      </c>
      <c r="E10" s="29" t="n">
        <f aca="false">IF(E$3&gt;=MAX(c_cen_start,c_first_dec2),1,0)</f>
        <v>0</v>
      </c>
      <c r="F10" s="29" t="n">
        <f aca="false">IF(F$3&gt;=MAX(c_cen_start,c_first_dec2),1,0)</f>
        <v>0</v>
      </c>
      <c r="G10" s="29" t="n">
        <f aca="false">IF(G$3&gt;=MAX(c_cen_start,c_first_dec2),1,0)</f>
        <v>0</v>
      </c>
      <c r="H10" s="29" t="n">
        <f aca="false">IF(H$3&gt;=MAX(c_cen_start,c_first_dec2),1,0)</f>
        <v>0</v>
      </c>
      <c r="I10" s="29" t="n">
        <f aca="false">IF(I$3&gt;=MAX(c_cen_start,c_first_dec2),1,0)</f>
        <v>0</v>
      </c>
      <c r="J10" s="29" t="n">
        <f aca="false">IF(J$3&gt;=MAX(c_cen_start,c_first_dec2),1,0)</f>
        <v>0</v>
      </c>
      <c r="K10" s="29" t="n">
        <f aca="false">IF(K$3&gt;=MAX(c_cen_start,c_first_dec2),1,0)</f>
        <v>0</v>
      </c>
      <c r="L10" s="29" t="n">
        <f aca="false">IF(L$3&gt;=MAX(c_cen_start,c_first_dec2),1,0)</f>
        <v>0</v>
      </c>
      <c r="M10" s="29" t="n">
        <f aca="false">IF(M$3&gt;=MAX(c_cen_start,c_first_dec2),1,0)</f>
        <v>0</v>
      </c>
      <c r="N10" s="29" t="n">
        <f aca="false">IF(N$3&gt;=MAX(c_cen_start,c_first_dec2),1,0)</f>
        <v>0</v>
      </c>
      <c r="O10" s="29" t="n">
        <f aca="false">IF(O$3&gt;=MAX(c_cen_start,c_first_dec2),1,0)</f>
        <v>0</v>
      </c>
      <c r="P10" s="29" t="n">
        <f aca="false">IF(P$3&gt;=MAX(c_cen_start,c_first_dec2),1,0)</f>
        <v>0</v>
      </c>
      <c r="Q10" s="29" t="n">
        <f aca="false">IF(Q$3&gt;=MAX(c_cen_start,c_first_dec2),1,0)</f>
        <v>0</v>
      </c>
      <c r="R10" s="29" t="n">
        <f aca="false">IF(R$3&gt;=MAX(c_cen_start,c_first_dec2),1,0)</f>
        <v>0</v>
      </c>
      <c r="S10" s="29" t="n">
        <f aca="false">IF(S$3&gt;=MAX(c_cen_start,c_first_dec2),1,0)</f>
        <v>0</v>
      </c>
      <c r="T10" s="29" t="n">
        <f aca="false">IF(T$3&gt;=MAX(c_cen_start,c_first_dec2),1,0)</f>
        <v>0</v>
      </c>
      <c r="U10" s="29" t="n">
        <f aca="false">IF(U$3&gt;=MAX(c_cen_start,c_first_dec2),1,0)</f>
        <v>0</v>
      </c>
      <c r="V10" s="29" t="n">
        <f aca="false">IF(V$3&gt;=MAX(c_cen_start,c_first_dec2),1,0)</f>
        <v>0</v>
      </c>
      <c r="W10" s="29" t="n">
        <f aca="false">IF(W$3&gt;=MAX(c_cen_start,c_first_dec2),1,0)</f>
        <v>0</v>
      </c>
      <c r="X10" s="29" t="n">
        <f aca="false">IF(X$3&gt;=MAX(c_cen_start,c_first_dec2),1,0)</f>
        <v>0</v>
      </c>
      <c r="Y10" s="29" t="n">
        <f aca="false">IF(Y$3&gt;=MAX(c_cen_start,c_first_dec2),1,0)</f>
        <v>0</v>
      </c>
      <c r="Z10" s="29" t="n">
        <f aca="false">IF(Z$3&gt;=MAX(c_cen_start,c_first_dec2),1,0)</f>
        <v>0</v>
      </c>
      <c r="AA10" s="29" t="n">
        <f aca="false">IF(AA$3&gt;=MAX(c_cen_start,c_first_dec2),1,0)</f>
        <v>1</v>
      </c>
      <c r="AB10" s="29" t="n">
        <f aca="false">IF(AB$3&gt;=MAX(c_cen_start,c_first_dec2),1,0)</f>
        <v>1</v>
      </c>
      <c r="AC10" s="29" t="n">
        <f aca="false">IF(AC$3&gt;=MAX(c_cen_start,c_first_dec2),1,0)</f>
        <v>1</v>
      </c>
      <c r="AD10" s="29" t="n">
        <f aca="false">IF(AD$3&gt;=MAX(c_cen_start,c_first_dec2),1,0)</f>
        <v>1</v>
      </c>
      <c r="AE10" s="29" t="n">
        <f aca="false">IF(AE$3&gt;=MAX(c_cen_start,c_first_dec2),1,0)</f>
        <v>1</v>
      </c>
      <c r="AF10" s="29" t="n">
        <f aca="false">IF(AF$3&gt;=MAX(c_cen_start,c_first_dec2),1,0)</f>
        <v>1</v>
      </c>
      <c r="AG10" s="29" t="n">
        <f aca="false">IF(AG$3&gt;=MAX(c_cen_start,c_first_dec2),1,0)</f>
        <v>1</v>
      </c>
      <c r="AH10" s="29" t="n">
        <f aca="false">IF(AH$3&gt;=MAX(c_cen_start,c_first_dec2),1,0)</f>
        <v>1</v>
      </c>
      <c r="AI10" s="29" t="n">
        <f aca="false">IF(AI$3&gt;=MAX(c_cen_start,c_first_dec2),1,0)</f>
        <v>1</v>
      </c>
      <c r="AJ10" s="29" t="n">
        <f aca="false">IF(AJ$3&gt;=MAX(c_cen_start,c_first_dec2),1,0)</f>
        <v>1</v>
      </c>
      <c r="AK10" s="29" t="n">
        <f aca="false">IF(AK$3&gt;=MAX(c_cen_start,c_first_dec2),1,0)</f>
        <v>1</v>
      </c>
      <c r="AL10" s="29" t="n">
        <f aca="false">IF(AL$3&gt;=MAX(c_cen_start,c_first_dec2),1,0)</f>
        <v>1</v>
      </c>
      <c r="AM10" s="29" t="n">
        <f aca="false">IF(AM$3&gt;=MAX(c_cen_start,c_first_dec2),1,0)</f>
        <v>1</v>
      </c>
      <c r="AN10" s="29" t="n">
        <f aca="false">IF(AN$3&gt;=MAX(c_cen_start,c_first_dec2),1,0)</f>
        <v>1</v>
      </c>
      <c r="AO10" s="29" t="n">
        <f aca="false">IF(AO$3&gt;=MAX(c_cen_start,c_first_dec2),1,0)</f>
        <v>1</v>
      </c>
      <c r="AP10" s="29" t="n">
        <f aca="false">IF(AP$3&gt;=MAX(c_cen_start,c_first_dec2),1,0)</f>
        <v>1</v>
      </c>
      <c r="AQ10" s="29" t="n">
        <f aca="false">IF(AQ$3&gt;=MAX(c_cen_start,c_first_dec2),1,0)</f>
        <v>1</v>
      </c>
      <c r="AR10" s="29" t="n">
        <f aca="false">IF(AR$3&gt;=MAX(c_cen_start,c_first_dec2),1,0)</f>
        <v>1</v>
      </c>
      <c r="AS10" s="29" t="n">
        <f aca="false">IF(AS$3&gt;=MAX(c_cen_start,c_first_dec2),1,0)</f>
        <v>1</v>
      </c>
      <c r="AT10" s="29" t="n">
        <f aca="false">IF(AT$3&gt;=MAX(c_cen_start,c_first_dec2),1,0)</f>
        <v>1</v>
      </c>
      <c r="AU10" s="29" t="n">
        <f aca="false">IF(AU$3&gt;=MAX(c_cen_start,c_first_dec2),1,0)</f>
        <v>1</v>
      </c>
      <c r="AV10" s="29" t="n">
        <f aca="false">IF(AV$3&gt;=MAX(c_cen_start,c_first_dec2),1,0)</f>
        <v>1</v>
      </c>
      <c r="AW10" s="29" t="n">
        <f aca="false">IF(AW$3&gt;=MAX(c_cen_start,c_first_dec2),1,0)</f>
        <v>1</v>
      </c>
      <c r="AX10" s="29" t="n">
        <f aca="false">IF(AX$3&gt;=MAX(c_cen_start,c_first_dec2),1,0)</f>
        <v>1</v>
      </c>
      <c r="AY10" s="29" t="n">
        <f aca="false">IF(AY$3&gt;=MAX(c_cen_start,c_first_dec2),1,0)</f>
        <v>1</v>
      </c>
      <c r="AZ10" s="29" t="n">
        <f aca="false">IF(AZ$3&gt;=MAX(c_cen_start,c_first_dec2),1,0)</f>
        <v>1</v>
      </c>
      <c r="BA10" s="29" t="n">
        <f aca="false">IF(BA$3&gt;=MAX(c_cen_start,c_first_dec2),1,0)</f>
        <v>1</v>
      </c>
      <c r="BB10" s="29" t="n">
        <f aca="false">IF(BB$3&gt;=MAX(c_cen_start,c_first_dec2),1,0)</f>
        <v>1</v>
      </c>
      <c r="BC10" s="29" t="n">
        <f aca="false">IF(BC$3&gt;=MAX(c_cen_start,c_first_dec2),1,0)</f>
        <v>1</v>
      </c>
      <c r="BD10" s="29" t="n">
        <f aca="false">IF(BD$3&gt;=MAX(c_cen_start,c_first_dec2),1,0)</f>
        <v>1</v>
      </c>
      <c r="BE10" s="29" t="n">
        <f aca="false">IF(BE$3&gt;=MAX(c_cen_start,c_first_dec2),1,0)</f>
        <v>1</v>
      </c>
      <c r="BF10" s="29" t="n">
        <f aca="false">IF(BF$3&gt;=MAX(c_cen_start,c_first_dec2),1,0)</f>
        <v>1</v>
      </c>
      <c r="BG10" s="29" t="n">
        <f aca="false">IF(BG$3&gt;=MAX(c_cen_start,c_first_dec2),1,0)</f>
        <v>1</v>
      </c>
      <c r="BH10" s="29" t="n">
        <f aca="false">IF(BH$3&gt;=MAX(c_cen_start,c_first_dec2),1,0)</f>
        <v>1</v>
      </c>
      <c r="BI10" s="29" t="n">
        <f aca="false">IF(BI$3&gt;=MAX(c_cen_start,c_first_dec2),1,0)</f>
        <v>1</v>
      </c>
      <c r="BJ10" s="29" t="n">
        <f aca="false">IF(BJ$3&gt;=MAX(c_cen_start,c_first_dec2),1,0)</f>
        <v>1</v>
      </c>
      <c r="BK10" s="29" t="n">
        <f aca="false">IF(BK$3&gt;=MAX(c_cen_start,c_first_dec2),1,0)</f>
        <v>1</v>
      </c>
      <c r="BL10" s="29" t="n">
        <f aca="false">IF(BL$3&gt;=MAX(c_cen_start,c_first_dec2),1,0)</f>
        <v>1</v>
      </c>
    </row>
    <row r="11" customFormat="false" ht="15" hidden="false" customHeight="true" outlineLevel="0" collapsed="false">
      <c r="A11" s="10" t="s">
        <v>431</v>
      </c>
      <c r="D11" s="19" t="n">
        <f aca="false">1+c_k2*D8</f>
        <v>1</v>
      </c>
      <c r="E11" s="19" t="n">
        <f aca="false">1+c_k2*E8</f>
        <v>1</v>
      </c>
      <c r="F11" s="19" t="n">
        <f aca="false">1+c_k2*F8</f>
        <v>1</v>
      </c>
      <c r="G11" s="19" t="n">
        <f aca="false">1+c_k2*G8</f>
        <v>1</v>
      </c>
      <c r="H11" s="19" t="n">
        <f aca="false">1+c_k2*H8</f>
        <v>1</v>
      </c>
      <c r="I11" s="19" t="n">
        <f aca="false">1+c_k2*I8</f>
        <v>1</v>
      </c>
      <c r="J11" s="19" t="n">
        <f aca="false">1+c_k2*J8</f>
        <v>1</v>
      </c>
      <c r="K11" s="19" t="n">
        <f aca="false">1+c_k2*K8</f>
        <v>1</v>
      </c>
      <c r="L11" s="19" t="n">
        <f aca="false">1+c_k2*L8</f>
        <v>1</v>
      </c>
      <c r="M11" s="19" t="n">
        <f aca="false">1+c_k2*M8</f>
        <v>1</v>
      </c>
      <c r="N11" s="19" t="n">
        <f aca="false">1+c_k2*N8</f>
        <v>1</v>
      </c>
      <c r="O11" s="19" t="n">
        <f aca="false">1+c_k2*O8</f>
        <v>1</v>
      </c>
      <c r="P11" s="19" t="n">
        <f aca="false">1+c_k2*P8</f>
        <v>1</v>
      </c>
      <c r="Q11" s="19" t="n">
        <f aca="false">1+c_k2*Q8</f>
        <v>1</v>
      </c>
      <c r="R11" s="19" t="n">
        <f aca="false">1+c_k2*R8</f>
        <v>1</v>
      </c>
      <c r="S11" s="19" t="n">
        <f aca="false">1+c_k2*S8</f>
        <v>1</v>
      </c>
      <c r="T11" s="19" t="n">
        <f aca="false">1+c_k2*T8</f>
        <v>1</v>
      </c>
      <c r="U11" s="19" t="n">
        <f aca="false">1+c_k2*U8</f>
        <v>1</v>
      </c>
      <c r="V11" s="19" t="n">
        <f aca="false">1+c_k2*V8</f>
        <v>1</v>
      </c>
      <c r="W11" s="19" t="n">
        <f aca="false">1+c_k2*W8</f>
        <v>1</v>
      </c>
      <c r="X11" s="19" t="n">
        <f aca="false">1+c_k2*X8</f>
        <v>1</v>
      </c>
      <c r="Y11" s="19" t="n">
        <f aca="false">1+c_k2*Y8</f>
        <v>1</v>
      </c>
      <c r="Z11" s="19" t="n">
        <f aca="false">1+c_k2*Z8</f>
        <v>1</v>
      </c>
      <c r="AA11" s="19" t="n">
        <f aca="false">1+c_k2*AA8</f>
        <v>1.03181818181818</v>
      </c>
      <c r="AB11" s="19" t="n">
        <f aca="false">1+c_k2*AB8</f>
        <v>1.06363636363636</v>
      </c>
      <c r="AC11" s="19" t="n">
        <f aca="false">1+c_k2*AC8</f>
        <v>1.09545454545455</v>
      </c>
      <c r="AD11" s="19" t="n">
        <f aca="false">1+c_k2*AD8</f>
        <v>1.12727272727273</v>
      </c>
      <c r="AE11" s="19" t="n">
        <f aca="false">1+c_k2*AE8</f>
        <v>1.15909090909091</v>
      </c>
      <c r="AF11" s="19" t="n">
        <f aca="false">1+c_k2*AF8</f>
        <v>1.19090909090909</v>
      </c>
      <c r="AG11" s="19" t="n">
        <f aca="false">1+c_k2*AG8</f>
        <v>1.22272727272727</v>
      </c>
      <c r="AH11" s="19" t="n">
        <f aca="false">1+c_k2*AH8</f>
        <v>1.25454545454545</v>
      </c>
      <c r="AI11" s="19" t="n">
        <f aca="false">1+c_k2*AI8</f>
        <v>1.28636363636364</v>
      </c>
      <c r="AJ11" s="19" t="n">
        <f aca="false">1+c_k2*AJ8</f>
        <v>1.31818181818182</v>
      </c>
      <c r="AK11" s="19" t="n">
        <f aca="false">1+c_k2*AK8</f>
        <v>1.35</v>
      </c>
      <c r="AL11" s="19" t="n">
        <f aca="false">1+c_k2*AL8</f>
        <v>1.38181818181818</v>
      </c>
      <c r="AM11" s="19" t="n">
        <f aca="false">1+c_k2*AM8</f>
        <v>1.38181818181818</v>
      </c>
      <c r="AN11" s="19" t="n">
        <f aca="false">1+c_k2*AN8</f>
        <v>1.38181818181818</v>
      </c>
      <c r="AO11" s="19" t="n">
        <f aca="false">1+c_k2*AO8</f>
        <v>1.38181818181818</v>
      </c>
      <c r="AP11" s="19" t="n">
        <f aca="false">1+c_k2*AP8</f>
        <v>1.38181818181818</v>
      </c>
      <c r="AQ11" s="19" t="n">
        <f aca="false">1+c_k2*AQ8</f>
        <v>1.38181818181818</v>
      </c>
      <c r="AR11" s="19" t="n">
        <f aca="false">1+c_k2*AR8</f>
        <v>1.38181818181818</v>
      </c>
      <c r="AS11" s="19" t="n">
        <f aca="false">1+c_k2*AS8</f>
        <v>1.38181818181818</v>
      </c>
      <c r="AT11" s="19" t="n">
        <f aca="false">1+c_k2*AT8</f>
        <v>1.38181818181818</v>
      </c>
      <c r="AU11" s="19" t="n">
        <f aca="false">1+c_k2*AU8</f>
        <v>1.38181818181818</v>
      </c>
      <c r="AV11" s="19" t="n">
        <f aca="false">1+c_k2*AV8</f>
        <v>1.38181818181818</v>
      </c>
      <c r="AW11" s="19" t="n">
        <f aca="false">1+c_k2*AW8</f>
        <v>1.38181818181818</v>
      </c>
      <c r="AX11" s="19" t="n">
        <f aca="false">1+c_k2*AX8</f>
        <v>1.38181818181818</v>
      </c>
      <c r="AY11" s="19" t="n">
        <f aca="false">1+c_k2*AY8</f>
        <v>1.38181818181818</v>
      </c>
      <c r="AZ11" s="19" t="n">
        <f aca="false">1+c_k2*AZ8</f>
        <v>1.38181818181818</v>
      </c>
      <c r="BA11" s="19" t="n">
        <f aca="false">1+c_k2*BA8</f>
        <v>1.38181818181818</v>
      </c>
      <c r="BB11" s="19" t="n">
        <f aca="false">1+c_k2*BB8</f>
        <v>1.38181818181818</v>
      </c>
      <c r="BC11" s="19" t="n">
        <f aca="false">1+c_k2*BC8</f>
        <v>1.38181818181818</v>
      </c>
      <c r="BD11" s="19" t="n">
        <f aca="false">1+c_k2*BD8</f>
        <v>1.38181818181818</v>
      </c>
      <c r="BE11" s="19" t="n">
        <f aca="false">1+c_k2*BE8</f>
        <v>1.38181818181818</v>
      </c>
      <c r="BF11" s="19" t="n">
        <f aca="false">1+c_k2*BF8</f>
        <v>1.38181818181818</v>
      </c>
      <c r="BG11" s="19" t="n">
        <f aca="false">1+c_k2*BG8</f>
        <v>1.38181818181818</v>
      </c>
      <c r="BH11" s="19" t="n">
        <f aca="false">1+c_k2*BH8</f>
        <v>1.38181818181818</v>
      </c>
      <c r="BI11" s="19" t="n">
        <f aca="false">1+c_k2*BI8</f>
        <v>1.38181818181818</v>
      </c>
      <c r="BJ11" s="19" t="n">
        <f aca="false">1+c_k2*BJ8</f>
        <v>1.38181818181818</v>
      </c>
      <c r="BK11" s="19" t="n">
        <f aca="false">1+c_k2*BK8</f>
        <v>1.38181818181818</v>
      </c>
      <c r="BL11" s="19" t="n">
        <f aca="false">1+c_k2*BL8</f>
        <v>1.38181818181818</v>
      </c>
    </row>
    <row r="12" customFormat="false" ht="15" hidden="false" customHeight="true" outlineLevel="0" collapsed="false">
      <c r="A12" s="10" t="s">
        <v>432</v>
      </c>
      <c r="D12" s="19" t="n">
        <f aca="false">1+c_k2*D10</f>
        <v>1</v>
      </c>
      <c r="E12" s="19" t="n">
        <f aca="false">1+c_k2*E10</f>
        <v>1</v>
      </c>
      <c r="F12" s="19" t="n">
        <f aca="false">1+c_k2*F10</f>
        <v>1</v>
      </c>
      <c r="G12" s="19" t="n">
        <f aca="false">1+c_k2*G10</f>
        <v>1</v>
      </c>
      <c r="H12" s="19" t="n">
        <f aca="false">1+c_k2*H10</f>
        <v>1</v>
      </c>
      <c r="I12" s="19" t="n">
        <f aca="false">1+c_k2*I10</f>
        <v>1</v>
      </c>
      <c r="J12" s="19" t="n">
        <f aca="false">1+c_k2*J10</f>
        <v>1</v>
      </c>
      <c r="K12" s="19" t="n">
        <f aca="false">1+c_k2*K10</f>
        <v>1</v>
      </c>
      <c r="L12" s="19" t="n">
        <f aca="false">1+c_k2*L10</f>
        <v>1</v>
      </c>
      <c r="M12" s="19" t="n">
        <f aca="false">1+c_k2*M10</f>
        <v>1</v>
      </c>
      <c r="N12" s="19" t="n">
        <f aca="false">1+c_k2*N10</f>
        <v>1</v>
      </c>
      <c r="O12" s="19" t="n">
        <f aca="false">1+c_k2*O10</f>
        <v>1</v>
      </c>
      <c r="P12" s="19" t="n">
        <f aca="false">1+c_k2*P10</f>
        <v>1</v>
      </c>
      <c r="Q12" s="19" t="n">
        <f aca="false">1+c_k2*Q10</f>
        <v>1</v>
      </c>
      <c r="R12" s="19" t="n">
        <f aca="false">1+c_k2*R10</f>
        <v>1</v>
      </c>
      <c r="S12" s="19" t="n">
        <f aca="false">1+c_k2*S10</f>
        <v>1</v>
      </c>
      <c r="T12" s="19" t="n">
        <f aca="false">1+c_k2*T10</f>
        <v>1</v>
      </c>
      <c r="U12" s="19" t="n">
        <f aca="false">1+c_k2*U10</f>
        <v>1</v>
      </c>
      <c r="V12" s="19" t="n">
        <f aca="false">1+c_k2*V10</f>
        <v>1</v>
      </c>
      <c r="W12" s="19" t="n">
        <f aca="false">1+c_k2*W10</f>
        <v>1</v>
      </c>
      <c r="X12" s="19" t="n">
        <f aca="false">1+c_k2*X10</f>
        <v>1</v>
      </c>
      <c r="Y12" s="19" t="n">
        <f aca="false">1+c_k2*Y10</f>
        <v>1</v>
      </c>
      <c r="Z12" s="19" t="n">
        <f aca="false">1+c_k2*Z10</f>
        <v>1</v>
      </c>
      <c r="AA12" s="19" t="n">
        <f aca="false">1+c_k2*AA10</f>
        <v>1.38181818181818</v>
      </c>
      <c r="AB12" s="19" t="n">
        <f aca="false">1+c_k2*AB10</f>
        <v>1.38181818181818</v>
      </c>
      <c r="AC12" s="19" t="n">
        <f aca="false">1+c_k2*AC10</f>
        <v>1.38181818181818</v>
      </c>
      <c r="AD12" s="19" t="n">
        <f aca="false">1+c_k2*AD10</f>
        <v>1.38181818181818</v>
      </c>
      <c r="AE12" s="19" t="n">
        <f aca="false">1+c_k2*AE10</f>
        <v>1.38181818181818</v>
      </c>
      <c r="AF12" s="19" t="n">
        <f aca="false">1+c_k2*AF10</f>
        <v>1.38181818181818</v>
      </c>
      <c r="AG12" s="19" t="n">
        <f aca="false">1+c_k2*AG10</f>
        <v>1.38181818181818</v>
      </c>
      <c r="AH12" s="19" t="n">
        <f aca="false">1+c_k2*AH10</f>
        <v>1.38181818181818</v>
      </c>
      <c r="AI12" s="19" t="n">
        <f aca="false">1+c_k2*AI10</f>
        <v>1.38181818181818</v>
      </c>
      <c r="AJ12" s="19" t="n">
        <f aca="false">1+c_k2*AJ10</f>
        <v>1.38181818181818</v>
      </c>
      <c r="AK12" s="19" t="n">
        <f aca="false">1+c_k2*AK10</f>
        <v>1.38181818181818</v>
      </c>
      <c r="AL12" s="19" t="n">
        <f aca="false">1+c_k2*AL10</f>
        <v>1.38181818181818</v>
      </c>
      <c r="AM12" s="19" t="n">
        <f aca="false">1+c_k2*AM10</f>
        <v>1.38181818181818</v>
      </c>
      <c r="AN12" s="19" t="n">
        <f aca="false">1+c_k2*AN10</f>
        <v>1.38181818181818</v>
      </c>
      <c r="AO12" s="19" t="n">
        <f aca="false">1+c_k2*AO10</f>
        <v>1.38181818181818</v>
      </c>
      <c r="AP12" s="19" t="n">
        <f aca="false">1+c_k2*AP10</f>
        <v>1.38181818181818</v>
      </c>
      <c r="AQ12" s="19" t="n">
        <f aca="false">1+c_k2*AQ10</f>
        <v>1.38181818181818</v>
      </c>
      <c r="AR12" s="19" t="n">
        <f aca="false">1+c_k2*AR10</f>
        <v>1.38181818181818</v>
      </c>
      <c r="AS12" s="19" t="n">
        <f aca="false">1+c_k2*AS10</f>
        <v>1.38181818181818</v>
      </c>
      <c r="AT12" s="19" t="n">
        <f aca="false">1+c_k2*AT10</f>
        <v>1.38181818181818</v>
      </c>
      <c r="AU12" s="19" t="n">
        <f aca="false">1+c_k2*AU10</f>
        <v>1.38181818181818</v>
      </c>
      <c r="AV12" s="19" t="n">
        <f aca="false">1+c_k2*AV10</f>
        <v>1.38181818181818</v>
      </c>
      <c r="AW12" s="19" t="n">
        <f aca="false">1+c_k2*AW10</f>
        <v>1.38181818181818</v>
      </c>
      <c r="AX12" s="19" t="n">
        <f aca="false">1+c_k2*AX10</f>
        <v>1.38181818181818</v>
      </c>
      <c r="AY12" s="19" t="n">
        <f aca="false">1+c_k2*AY10</f>
        <v>1.38181818181818</v>
      </c>
      <c r="AZ12" s="19" t="n">
        <f aca="false">1+c_k2*AZ10</f>
        <v>1.38181818181818</v>
      </c>
      <c r="BA12" s="19" t="n">
        <f aca="false">1+c_k2*BA10</f>
        <v>1.38181818181818</v>
      </c>
      <c r="BB12" s="19" t="n">
        <f aca="false">1+c_k2*BB10</f>
        <v>1.38181818181818</v>
      </c>
      <c r="BC12" s="19" t="n">
        <f aca="false">1+c_k2*BC10</f>
        <v>1.38181818181818</v>
      </c>
      <c r="BD12" s="19" t="n">
        <f aca="false">1+c_k2*BD10</f>
        <v>1.38181818181818</v>
      </c>
      <c r="BE12" s="19" t="n">
        <f aca="false">1+c_k2*BE10</f>
        <v>1.38181818181818</v>
      </c>
      <c r="BF12" s="19" t="n">
        <f aca="false">1+c_k2*BF10</f>
        <v>1.38181818181818</v>
      </c>
      <c r="BG12" s="19" t="n">
        <f aca="false">1+c_k2*BG10</f>
        <v>1.38181818181818</v>
      </c>
      <c r="BH12" s="19" t="n">
        <f aca="false">1+c_k2*BH10</f>
        <v>1.38181818181818</v>
      </c>
      <c r="BI12" s="19" t="n">
        <f aca="false">1+c_k2*BI10</f>
        <v>1.38181818181818</v>
      </c>
      <c r="BJ12" s="19" t="n">
        <f aca="false">1+c_k2*BJ10</f>
        <v>1.38181818181818</v>
      </c>
      <c r="BK12" s="19" t="n">
        <f aca="false">1+c_k2*BK10</f>
        <v>1.38181818181818</v>
      </c>
      <c r="BL12" s="19" t="n">
        <f aca="false">1+c_k2*BL10</f>
        <v>1.38181818181818</v>
      </c>
    </row>
    <row r="13" customFormat="false" ht="15" hidden="false" customHeight="true" outlineLevel="0" collapsed="false">
      <c r="A13" s="10" t="s">
        <v>433</v>
      </c>
      <c r="D13" s="15" t="n">
        <f aca="false">(s_Rd3+s_Rd4)/12*D7*D11*D5*D6</f>
        <v>0</v>
      </c>
      <c r="E13" s="15" t="n">
        <f aca="false">(s_Rd3+s_Rd4)/12*E7*E11*E5*E6</f>
        <v>0</v>
      </c>
      <c r="F13" s="15" t="n">
        <f aca="false">(s_Rd3+s_Rd4)/12*F7*F11*F5*F6</f>
        <v>0</v>
      </c>
      <c r="G13" s="15" t="n">
        <f aca="false">(s_Rd3+s_Rd4)/12*G7*G11*G5*G6</f>
        <v>0</v>
      </c>
      <c r="H13" s="15" t="n">
        <f aca="false">(s_Rd3+s_Rd4)/12*H7*H11*H5*H6</f>
        <v>0</v>
      </c>
      <c r="I13" s="15" t="n">
        <f aca="false">(s_Rd3+s_Rd4)/12*I7*I11*I5*I6</f>
        <v>0</v>
      </c>
      <c r="J13" s="15" t="n">
        <f aca="false">(s_Rd3+s_Rd4)/12*J7*J11*J5*J6</f>
        <v>0</v>
      </c>
      <c r="K13" s="15" t="n">
        <f aca="false">(s_Rd3+s_Rd4)/12*K7*K11*K5*K6</f>
        <v>0</v>
      </c>
      <c r="L13" s="15" t="n">
        <f aca="false">(s_Rd3+s_Rd4)/12*L7*L11*L5*L6</f>
        <v>630.242776659375</v>
      </c>
      <c r="M13" s="15" t="n">
        <f aca="false">(s_Rd3+s_Rd4)/12*M7*M11*M5*M6</f>
        <v>1260.48555331875</v>
      </c>
      <c r="N13" s="15" t="n">
        <f aca="false">(s_Rd3+s_Rd4)/12*N7*N11*N5*N6</f>
        <v>1890.72832997813</v>
      </c>
      <c r="O13" s="15" t="n">
        <f aca="false">(s_Rd3+s_Rd4)/12*O7*O11*O5*O6</f>
        <v>2520.9711066375</v>
      </c>
      <c r="P13" s="15" t="n">
        <f aca="false">(s_Rd3+s_Rd4)/12*P7*P11*P5*P6</f>
        <v>3056.67746679797</v>
      </c>
      <c r="Q13" s="15" t="n">
        <f aca="false">(s_Rd3+s_Rd4)/12*Q7*Q11*Q5*Q6</f>
        <v>3668.01296015756</v>
      </c>
      <c r="R13" s="15" t="n">
        <f aca="false">(s_Rd3+s_Rd4)/12*R7*R11*R5*R6</f>
        <v>4279.34845351716</v>
      </c>
      <c r="S13" s="15" t="n">
        <f aca="false">(s_Rd3+s_Rd4)/12*S7*S11*S5*S6</f>
        <v>4890.68394687675</v>
      </c>
      <c r="T13" s="15" t="n">
        <f aca="false">(s_Rd3+s_Rd4)/12*T7*T11*T5*T6</f>
        <v>5502.01944023634</v>
      </c>
      <c r="U13" s="15" t="n">
        <f aca="false">(s_Rd3+s_Rd4)/12*U7*U11*U5*U6</f>
        <v>6113.35493359594</v>
      </c>
      <c r="V13" s="15" t="n">
        <f aca="false">(s_Rd3+s_Rd4)/12*V7*V11*V5*V6</f>
        <v>6724.69042695553</v>
      </c>
      <c r="W13" s="15" t="n">
        <f aca="false">(s_Rd3+s_Rd4)/12*W7*W11*W5*W6</f>
        <v>7336.02592031512</v>
      </c>
      <c r="X13" s="15" t="n">
        <f aca="false">(s_Rd3+s_Rd4)/12*X7*X11*X5*X6</f>
        <v>7336.02592031512</v>
      </c>
      <c r="Y13" s="15" t="n">
        <f aca="false">(s_Rd3+s_Rd4)/12*Y7*Y11*Y5*Y6</f>
        <v>7336.02592031512</v>
      </c>
      <c r="Z13" s="15" t="n">
        <f aca="false">(s_Rd3+s_Rd4)/12*Z7*Z11*Z5*Z6</f>
        <v>7336.02592031512</v>
      </c>
      <c r="AA13" s="15" t="n">
        <f aca="false">(s_Rd3+s_Rd4)/12*AA7*AA11*AA5*AA6</f>
        <v>7569.44492687061</v>
      </c>
      <c r="AB13" s="15" t="n">
        <f aca="false">(s_Rd3+s_Rd4)/12*AB7*AB11*AB5*AB6</f>
        <v>7568.77801542331</v>
      </c>
      <c r="AC13" s="15" t="n">
        <f aca="false">(s_Rd3+s_Rd4)/12*AC7*AC11*AC5*AC6</f>
        <v>7795.19445178212</v>
      </c>
      <c r="AD13" s="15" t="n">
        <f aca="false">(s_Rd3+s_Rd4)/12*AD7*AD11*AD5*AD6</f>
        <v>8021.61088814094</v>
      </c>
      <c r="AE13" s="15" t="n">
        <f aca="false">(s_Rd3+s_Rd4)/12*AE7*AE11*AE5*AE6</f>
        <v>8248.02732449976</v>
      </c>
      <c r="AF13" s="15" t="n">
        <f aca="false">(s_Rd3+s_Rd4)/12*AF7*AF11*AF5*AF6</f>
        <v>8474.44376085857</v>
      </c>
      <c r="AG13" s="15" t="n">
        <f aca="false">(s_Rd3+s_Rd4)/12*AG7*AG11*AG5*AG6</f>
        <v>8700.86019721739</v>
      </c>
      <c r="AH13" s="15" t="n">
        <f aca="false">(s_Rd3+s_Rd4)/12*AH7*AH11*AH5*AH6</f>
        <v>8927.2766335762</v>
      </c>
      <c r="AI13" s="15" t="n">
        <f aca="false">(s_Rd3+s_Rd4)/12*AI7*AI11*AI5*AI6</f>
        <v>9153.69306993502</v>
      </c>
      <c r="AJ13" s="15" t="n">
        <f aca="false">(s_Rd3+s_Rd4)/12*AJ7*AJ11*AJ5*AJ6</f>
        <v>9380.10950629384</v>
      </c>
      <c r="AK13" s="15" t="n">
        <f aca="false">(s_Rd3+s_Rd4)/12*AK7*AK11*AK5*AK6</f>
        <v>9606.52594265265</v>
      </c>
      <c r="AL13" s="15" t="n">
        <f aca="false">(s_Rd3+s_Rd4)/12*AL7*AL11*AL5*AL6</f>
        <v>9832.94237901147</v>
      </c>
      <c r="AM13" s="15" t="n">
        <f aca="false">(s_Rd3+s_Rd4)/12*AM7*AM11*AM5*AM6</f>
        <v>9832.94237901147</v>
      </c>
      <c r="AN13" s="15" t="n">
        <f aca="false">(s_Rd3+s_Rd4)/12*AN7*AN11*AN5*AN6</f>
        <v>9537.95410764113</v>
      </c>
      <c r="AO13" s="15" t="n">
        <f aca="false">(s_Rd3+s_Rd4)/12*AO7*AO11*AO5*AO6</f>
        <v>9537.95410764113</v>
      </c>
      <c r="AP13" s="15" t="n">
        <f aca="false">(s_Rd3+s_Rd4)/12*AP7*AP11*AP5*AP6</f>
        <v>9537.95410764113</v>
      </c>
      <c r="AQ13" s="15" t="n">
        <f aca="false">(s_Rd3+s_Rd4)/12*AQ7*AQ11*AQ5*AQ6</f>
        <v>9537.95410764113</v>
      </c>
      <c r="AR13" s="15" t="n">
        <f aca="false">(s_Rd3+s_Rd4)/12*AR7*AR11*AR5*AR6</f>
        <v>9537.95410764113</v>
      </c>
      <c r="AS13" s="15" t="n">
        <f aca="false">(s_Rd3+s_Rd4)/12*AS7*AS11*AS5*AS6</f>
        <v>9537.95410764113</v>
      </c>
      <c r="AT13" s="15" t="n">
        <f aca="false">(s_Rd3+s_Rd4)/12*AT7*AT11*AT5*AT6</f>
        <v>9537.95410764113</v>
      </c>
      <c r="AU13" s="15" t="n">
        <f aca="false">(s_Rd3+s_Rd4)/12*AU7*AU11*AU5*AU6</f>
        <v>9537.95410764113</v>
      </c>
      <c r="AV13" s="15" t="n">
        <f aca="false">(s_Rd3+s_Rd4)/12*AV7*AV11*AV5*AV6</f>
        <v>9537.95410764113</v>
      </c>
      <c r="AW13" s="15" t="n">
        <f aca="false">(s_Rd3+s_Rd4)/12*AW7*AW11*AW5*AW6</f>
        <v>9537.95410764113</v>
      </c>
      <c r="AX13" s="15" t="n">
        <f aca="false">(s_Rd3+s_Rd4)/12*AX7*AX11*AX5*AX6</f>
        <v>9537.95410764113</v>
      </c>
      <c r="AY13" s="15" t="n">
        <f aca="false">(s_Rd3+s_Rd4)/12*AY7*AY11*AY5*AY6</f>
        <v>9537.95410764113</v>
      </c>
      <c r="AZ13" s="15" t="n">
        <f aca="false">(s_Rd3+s_Rd4)/12*AZ7*AZ11*AZ5*AZ6</f>
        <v>9251.81548441189</v>
      </c>
      <c r="BA13" s="15" t="n">
        <f aca="false">(s_Rd3+s_Rd4)/12*BA7*BA11*BA5*BA6</f>
        <v>9251.81548441189</v>
      </c>
      <c r="BB13" s="15" t="n">
        <f aca="false">(s_Rd3+s_Rd4)/12*BB7*BB11*BB5*BB6</f>
        <v>9251.81548441189</v>
      </c>
      <c r="BC13" s="15" t="n">
        <f aca="false">(s_Rd3+s_Rd4)/12*BC7*BC11*BC5*BC6</f>
        <v>9251.81548441189</v>
      </c>
      <c r="BD13" s="15" t="n">
        <f aca="false">(s_Rd3+s_Rd4)/12*BD7*BD11*BD5*BD6</f>
        <v>9251.81548441189</v>
      </c>
      <c r="BE13" s="15" t="n">
        <f aca="false">(s_Rd3+s_Rd4)/12*BE7*BE11*BE5*BE6</f>
        <v>9251.81548441189</v>
      </c>
      <c r="BF13" s="15" t="n">
        <f aca="false">(s_Rd3+s_Rd4)/12*BF7*BF11*BF5*BF6</f>
        <v>9251.81548441189</v>
      </c>
      <c r="BG13" s="15" t="n">
        <f aca="false">(s_Rd3+s_Rd4)/12*BG7*BG11*BG5*BG6</f>
        <v>9251.81548441189</v>
      </c>
      <c r="BH13" s="15" t="n">
        <f aca="false">(s_Rd3+s_Rd4)/12*BH7*BH11*BH5*BH6</f>
        <v>9251.81548441189</v>
      </c>
      <c r="BI13" s="15" t="n">
        <f aca="false">(s_Rd3+s_Rd4)/12*BI7*BI11*BI5*BI6</f>
        <v>9251.81548441189</v>
      </c>
      <c r="BJ13" s="15" t="n">
        <f aca="false">(s_Rd3+s_Rd4)/12*BJ7*BJ11*BJ5*BJ6</f>
        <v>9251.81548441189</v>
      </c>
      <c r="BK13" s="15" t="n">
        <f aca="false">(s_Rd3+s_Rd4)/12*BK7*BK11*BK5*BK6</f>
        <v>9251.81548441189</v>
      </c>
      <c r="BL13" s="15" t="n">
        <f aca="false">(s_Rd3+s_Rd4)/12*BL7*BL11*BL5*BL6</f>
        <v>9251.81548441189</v>
      </c>
    </row>
    <row r="14" customFormat="false" ht="15" hidden="false" customHeight="true" outlineLevel="0" collapsed="false">
      <c r="A14" s="10" t="s">
        <v>434</v>
      </c>
      <c r="D14" s="15" t="n">
        <f aca="false">(s_Rc1*p_pwin_cen+s_Rc2*p_pwin_cen*p_minsa_occ)/12*D9*D12*D5*D6</f>
        <v>0</v>
      </c>
      <c r="E14" s="15" t="n">
        <f aca="false">(s_Rc1*p_pwin_cen+s_Rc2*p_pwin_cen*p_minsa_occ)/12*E9*E12*E5*E6</f>
        <v>0</v>
      </c>
      <c r="F14" s="15" t="n">
        <f aca="false">(s_Rc1*p_pwin_cen+s_Rc2*p_pwin_cen*p_minsa_occ)/12*F9*F12*F5*F6</f>
        <v>0</v>
      </c>
      <c r="G14" s="15" t="n">
        <f aca="false">(s_Rc1*p_pwin_cen+s_Rc2*p_pwin_cen*p_minsa_occ)/12*G9*G12*G5*G6</f>
        <v>0</v>
      </c>
      <c r="H14" s="15" t="n">
        <f aca="false">(s_Rc1*p_pwin_cen+s_Rc2*p_pwin_cen*p_minsa_occ)/12*H9*H12*H5*H6</f>
        <v>0</v>
      </c>
      <c r="I14" s="15" t="n">
        <f aca="false">(s_Rc1*p_pwin_cen+s_Rc2*p_pwin_cen*p_minsa_occ)/12*I9*I12*I5*I6</f>
        <v>0</v>
      </c>
      <c r="J14" s="15" t="n">
        <f aca="false">(s_Rc1*p_pwin_cen+s_Rc2*p_pwin_cen*p_minsa_occ)/12*J9*J12*J5*J6</f>
        <v>0</v>
      </c>
      <c r="K14" s="15" t="n">
        <f aca="false">(s_Rc1*p_pwin_cen+s_Rc2*p_pwin_cen*p_minsa_occ)/12*K9*K12*K5*K6</f>
        <v>0</v>
      </c>
      <c r="L14" s="15" t="n">
        <f aca="false">(s_Rc1*p_pwin_cen+s_Rc2*p_pwin_cen*p_minsa_occ)/12*L9*L12*L5*L6</f>
        <v>0</v>
      </c>
      <c r="M14" s="15" t="n">
        <f aca="false">(s_Rc1*p_pwin_cen+s_Rc2*p_pwin_cen*p_minsa_occ)/12*M9*M12*M5*M6</f>
        <v>0</v>
      </c>
      <c r="N14" s="15" t="n">
        <f aca="false">(s_Rc1*p_pwin_cen+s_Rc2*p_pwin_cen*p_minsa_occ)/12*N9*N12*N5*N6</f>
        <v>0</v>
      </c>
      <c r="O14" s="15" t="n">
        <f aca="false">(s_Rc1*p_pwin_cen+s_Rc2*p_pwin_cen*p_minsa_occ)/12*O9*O12*O5*O6</f>
        <v>0</v>
      </c>
      <c r="P14" s="15" t="n">
        <f aca="false">(s_Rc1*p_pwin_cen+s_Rc2*p_pwin_cen*p_minsa_occ)/12*P9*P12*P5*P6</f>
        <v>0</v>
      </c>
      <c r="Q14" s="15" t="n">
        <f aca="false">(s_Rc1*p_pwin_cen+s_Rc2*p_pwin_cen*p_minsa_occ)/12*Q9*Q12*Q5*Q6</f>
        <v>0</v>
      </c>
      <c r="R14" s="15" t="n">
        <f aca="false">(s_Rc1*p_pwin_cen+s_Rc2*p_pwin_cen*p_minsa_occ)/12*R9*R12*R5*R6</f>
        <v>9918.26229668091</v>
      </c>
      <c r="S14" s="15" t="n">
        <f aca="false">(s_Rc1*p_pwin_cen+s_Rc2*p_pwin_cen*p_minsa_occ)/12*S9*S12*S5*S6</f>
        <v>9918.26229668091</v>
      </c>
      <c r="T14" s="15" t="n">
        <f aca="false">(s_Rc1*p_pwin_cen+s_Rc2*p_pwin_cen*p_minsa_occ)/12*T9*T12*T5*T6</f>
        <v>9918.26229668091</v>
      </c>
      <c r="U14" s="15" t="n">
        <f aca="false">(s_Rc1*p_pwin_cen+s_Rc2*p_pwin_cen*p_minsa_occ)/12*U9*U12*U5*U6</f>
        <v>9918.26229668091</v>
      </c>
      <c r="V14" s="15" t="n">
        <f aca="false">(s_Rc1*p_pwin_cen+s_Rc2*p_pwin_cen*p_minsa_occ)/12*V9*V12*V5*V6</f>
        <v>9918.26229668091</v>
      </c>
      <c r="W14" s="15" t="n">
        <f aca="false">(s_Rc1*p_pwin_cen+s_Rc2*p_pwin_cen*p_minsa_occ)/12*W9*W12*W5*W6</f>
        <v>9918.26229668091</v>
      </c>
      <c r="X14" s="15" t="n">
        <f aca="false">(s_Rc1*p_pwin_cen+s_Rc2*p_pwin_cen*p_minsa_occ)/12*X9*X12*X5*X6</f>
        <v>9918.26229668091</v>
      </c>
      <c r="Y14" s="15" t="n">
        <f aca="false">(s_Rc1*p_pwin_cen+s_Rc2*p_pwin_cen*p_minsa_occ)/12*Y9*Y12*Y5*Y6</f>
        <v>9918.26229668091</v>
      </c>
      <c r="Z14" s="15" t="n">
        <f aca="false">(s_Rc1*p_pwin_cen+s_Rc2*p_pwin_cen*p_minsa_occ)/12*Z9*Z12*Z5*Z6</f>
        <v>9918.26229668091</v>
      </c>
      <c r="AA14" s="15" t="n">
        <f aca="false">(s_Rc1*p_pwin_cen+s_Rc2*p_pwin_cen*p_minsa_occ)/12*AA9*AA12*AA5*AA6</f>
        <v>13705.2351735954</v>
      </c>
      <c r="AB14" s="15" t="n">
        <f aca="false">(s_Rc1*p_pwin_cen+s_Rc2*p_pwin_cen*p_minsa_occ)/12*AB9*AB12*AB5*AB6</f>
        <v>13294.0781183876</v>
      </c>
      <c r="AC14" s="15" t="n">
        <f aca="false">(s_Rc1*p_pwin_cen+s_Rc2*p_pwin_cen*p_minsa_occ)/12*AC9*AC12*AC5*AC6</f>
        <v>13294.0781183876</v>
      </c>
      <c r="AD14" s="15" t="n">
        <f aca="false">(s_Rc1*p_pwin_cen+s_Rc2*p_pwin_cen*p_minsa_occ)/12*AD9*AD12*AD5*AD6</f>
        <v>13294.0781183876</v>
      </c>
      <c r="AE14" s="15" t="n">
        <f aca="false">(s_Rc1*p_pwin_cen+s_Rc2*p_pwin_cen*p_minsa_occ)/12*AE9*AE12*AE5*AE6</f>
        <v>13294.0781183876</v>
      </c>
      <c r="AF14" s="15" t="n">
        <f aca="false">(s_Rc1*p_pwin_cen+s_Rc2*p_pwin_cen*p_minsa_occ)/12*AF9*AF12*AF5*AF6</f>
        <v>13294.0781183876</v>
      </c>
      <c r="AG14" s="15" t="n">
        <f aca="false">(s_Rc1*p_pwin_cen+s_Rc2*p_pwin_cen*p_minsa_occ)/12*AG9*AG12*AG5*AG6</f>
        <v>13294.0781183876</v>
      </c>
      <c r="AH14" s="15" t="n">
        <f aca="false">(s_Rc1*p_pwin_cen+s_Rc2*p_pwin_cen*p_minsa_occ)/12*AH9*AH12*AH5*AH6</f>
        <v>13294.0781183876</v>
      </c>
      <c r="AI14" s="15" t="n">
        <f aca="false">(s_Rc1*p_pwin_cen+s_Rc2*p_pwin_cen*p_minsa_occ)/12*AI9*AI12*AI5*AI6</f>
        <v>13294.0781183876</v>
      </c>
      <c r="AJ14" s="15" t="n">
        <f aca="false">(s_Rc1*p_pwin_cen+s_Rc2*p_pwin_cen*p_minsa_occ)/12*AJ9*AJ12*AJ5*AJ6</f>
        <v>13294.0781183876</v>
      </c>
      <c r="AK14" s="15" t="n">
        <f aca="false">(s_Rc1*p_pwin_cen+s_Rc2*p_pwin_cen*p_minsa_occ)/12*AK9*AK12*AK5*AK6</f>
        <v>13294.0781183876</v>
      </c>
      <c r="AL14" s="15" t="n">
        <f aca="false">(s_Rc1*p_pwin_cen+s_Rc2*p_pwin_cen*p_minsa_occ)/12*AL9*AL12*AL5*AL6</f>
        <v>13294.0781183876</v>
      </c>
      <c r="AM14" s="15" t="n">
        <f aca="false">(s_Rc1*p_pwin_cen+s_Rc2*p_pwin_cen*p_minsa_occ)/12*AM9*AM12*AM5*AM6</f>
        <v>13294.0781183876</v>
      </c>
      <c r="AN14" s="15" t="n">
        <f aca="false">(s_Rc1*p_pwin_cen+s_Rc2*p_pwin_cen*p_minsa_occ)/12*AN9*AN12*AN5*AN6</f>
        <v>12895.2557748359</v>
      </c>
      <c r="AO14" s="15" t="n">
        <f aca="false">(s_Rc1*p_pwin_cen+s_Rc2*p_pwin_cen*p_minsa_occ)/12*AO9*AO12*AO5*AO6</f>
        <v>12895.2557748359</v>
      </c>
      <c r="AP14" s="15" t="n">
        <f aca="false">(s_Rc1*p_pwin_cen+s_Rc2*p_pwin_cen*p_minsa_occ)/12*AP9*AP12*AP5*AP6</f>
        <v>12895.2557748359</v>
      </c>
      <c r="AQ14" s="15" t="n">
        <f aca="false">(s_Rc1*p_pwin_cen+s_Rc2*p_pwin_cen*p_minsa_occ)/12*AQ9*AQ12*AQ5*AQ6</f>
        <v>12895.2557748359</v>
      </c>
      <c r="AR14" s="15" t="n">
        <f aca="false">(s_Rc1*p_pwin_cen+s_Rc2*p_pwin_cen*p_minsa_occ)/12*AR9*AR12*AR5*AR6</f>
        <v>12895.2557748359</v>
      </c>
      <c r="AS14" s="15" t="n">
        <f aca="false">(s_Rc1*p_pwin_cen+s_Rc2*p_pwin_cen*p_minsa_occ)/12*AS9*AS12*AS5*AS6</f>
        <v>12895.2557748359</v>
      </c>
      <c r="AT14" s="15" t="n">
        <f aca="false">(s_Rc1*p_pwin_cen+s_Rc2*p_pwin_cen*p_minsa_occ)/12*AT9*AT12*AT5*AT6</f>
        <v>12895.2557748359</v>
      </c>
      <c r="AU14" s="15" t="n">
        <f aca="false">(s_Rc1*p_pwin_cen+s_Rc2*p_pwin_cen*p_minsa_occ)/12*AU9*AU12*AU5*AU6</f>
        <v>12895.2557748359</v>
      </c>
      <c r="AV14" s="15" t="n">
        <f aca="false">(s_Rc1*p_pwin_cen+s_Rc2*p_pwin_cen*p_minsa_occ)/12*AV9*AV12*AV5*AV6</f>
        <v>12895.2557748359</v>
      </c>
      <c r="AW14" s="15" t="n">
        <f aca="false">(s_Rc1*p_pwin_cen+s_Rc2*p_pwin_cen*p_minsa_occ)/12*AW9*AW12*AW5*AW6</f>
        <v>12895.2557748359</v>
      </c>
      <c r="AX14" s="15" t="n">
        <f aca="false">(s_Rc1*p_pwin_cen+s_Rc2*p_pwin_cen*p_minsa_occ)/12*AX9*AX12*AX5*AX6</f>
        <v>12895.2557748359</v>
      </c>
      <c r="AY14" s="15" t="n">
        <f aca="false">(s_Rc1*p_pwin_cen+s_Rc2*p_pwin_cen*p_minsa_occ)/12*AY9*AY12*AY5*AY6</f>
        <v>12895.2557748359</v>
      </c>
      <c r="AZ14" s="15" t="n">
        <f aca="false">(s_Rc1*p_pwin_cen+s_Rc2*p_pwin_cen*p_minsa_occ)/12*AZ9*AZ12*AZ5*AZ6</f>
        <v>12508.3981015909</v>
      </c>
      <c r="BA14" s="15" t="n">
        <f aca="false">(s_Rc1*p_pwin_cen+s_Rc2*p_pwin_cen*p_minsa_occ)/12*BA9*BA12*BA5*BA6</f>
        <v>12508.3981015909</v>
      </c>
      <c r="BB14" s="15" t="n">
        <f aca="false">(s_Rc1*p_pwin_cen+s_Rc2*p_pwin_cen*p_minsa_occ)/12*BB9*BB12*BB5*BB6</f>
        <v>12508.3981015909</v>
      </c>
      <c r="BC14" s="15" t="n">
        <f aca="false">(s_Rc1*p_pwin_cen+s_Rc2*p_pwin_cen*p_minsa_occ)/12*BC9*BC12*BC5*BC6</f>
        <v>12508.3981015909</v>
      </c>
      <c r="BD14" s="15" t="n">
        <f aca="false">(s_Rc1*p_pwin_cen+s_Rc2*p_pwin_cen*p_minsa_occ)/12*BD9*BD12*BD5*BD6</f>
        <v>12508.3981015909</v>
      </c>
      <c r="BE14" s="15" t="n">
        <f aca="false">(s_Rc1*p_pwin_cen+s_Rc2*p_pwin_cen*p_minsa_occ)/12*BE9*BE12*BE5*BE6</f>
        <v>12508.3981015909</v>
      </c>
      <c r="BF14" s="15" t="n">
        <f aca="false">(s_Rc1*p_pwin_cen+s_Rc2*p_pwin_cen*p_minsa_occ)/12*BF9*BF12*BF5*BF6</f>
        <v>12508.3981015909</v>
      </c>
      <c r="BG14" s="15" t="n">
        <f aca="false">(s_Rc1*p_pwin_cen+s_Rc2*p_pwin_cen*p_minsa_occ)/12*BG9*BG12*BG5*BG6</f>
        <v>12508.3981015909</v>
      </c>
      <c r="BH14" s="15" t="n">
        <f aca="false">(s_Rc1*p_pwin_cen+s_Rc2*p_pwin_cen*p_minsa_occ)/12*BH9*BH12*BH5*BH6</f>
        <v>12508.3981015909</v>
      </c>
      <c r="BI14" s="15" t="n">
        <f aca="false">(s_Rc1*p_pwin_cen+s_Rc2*p_pwin_cen*p_minsa_occ)/12*BI9*BI12*BI5*BI6</f>
        <v>12508.3981015909</v>
      </c>
      <c r="BJ14" s="15" t="n">
        <f aca="false">(s_Rc1*p_pwin_cen+s_Rc2*p_pwin_cen*p_minsa_occ)/12*BJ9*BJ12*BJ5*BJ6</f>
        <v>12508.3981015909</v>
      </c>
      <c r="BK14" s="15" t="n">
        <f aca="false">(s_Rc1*p_pwin_cen+s_Rc2*p_pwin_cen*p_minsa_occ)/12*BK9*BK12*BK5*BK6</f>
        <v>12508.3981015909</v>
      </c>
      <c r="BL14" s="15" t="n">
        <f aca="false">(s_Rc1*p_pwin_cen+s_Rc2*p_pwin_cen*p_minsa_occ)/12*BL9*BL12*BL5*BL6</f>
        <v>12508.3981015909</v>
      </c>
    </row>
    <row r="15" customFormat="false" ht="15" hidden="false" customHeight="true" outlineLevel="0" collapsed="false">
      <c r="A15" s="36" t="s">
        <v>435</v>
      </c>
      <c r="B15" s="32"/>
      <c r="C15" s="32"/>
      <c r="D15" s="37" t="n">
        <f aca="false">D13+D14</f>
        <v>0</v>
      </c>
      <c r="E15" s="37" t="n">
        <f aca="false">E13+E14</f>
        <v>0</v>
      </c>
      <c r="F15" s="37" t="n">
        <f aca="false">F13+F14</f>
        <v>0</v>
      </c>
      <c r="G15" s="37" t="n">
        <f aca="false">G13+G14</f>
        <v>0</v>
      </c>
      <c r="H15" s="37" t="n">
        <f aca="false">H13+H14</f>
        <v>0</v>
      </c>
      <c r="I15" s="37" t="n">
        <f aca="false">I13+I14</f>
        <v>0</v>
      </c>
      <c r="J15" s="37" t="n">
        <f aca="false">J13+J14</f>
        <v>0</v>
      </c>
      <c r="K15" s="37" t="n">
        <f aca="false">K13+K14</f>
        <v>0</v>
      </c>
      <c r="L15" s="37" t="n">
        <f aca="false">L13+L14</f>
        <v>630.242776659375</v>
      </c>
      <c r="M15" s="37" t="n">
        <f aca="false">M13+M14</f>
        <v>1260.48555331875</v>
      </c>
      <c r="N15" s="37" t="n">
        <f aca="false">N13+N14</f>
        <v>1890.72832997813</v>
      </c>
      <c r="O15" s="37" t="n">
        <f aca="false">O13+O14</f>
        <v>2520.9711066375</v>
      </c>
      <c r="P15" s="37" t="n">
        <f aca="false">P13+P14</f>
        <v>3056.67746679797</v>
      </c>
      <c r="Q15" s="37" t="n">
        <f aca="false">Q13+Q14</f>
        <v>3668.01296015756</v>
      </c>
      <c r="R15" s="37" t="n">
        <f aca="false">R13+R14</f>
        <v>14197.6107501981</v>
      </c>
      <c r="S15" s="37" t="n">
        <f aca="false">S13+S14</f>
        <v>14808.9462435577</v>
      </c>
      <c r="T15" s="37" t="n">
        <f aca="false">T13+T14</f>
        <v>15420.2817369172</v>
      </c>
      <c r="U15" s="37" t="n">
        <f aca="false">U13+U14</f>
        <v>16031.6172302768</v>
      </c>
      <c r="V15" s="37" t="n">
        <f aca="false">V13+V14</f>
        <v>16642.9527236364</v>
      </c>
      <c r="W15" s="37" t="n">
        <f aca="false">W13+W14</f>
        <v>17254.288216996</v>
      </c>
      <c r="X15" s="37" t="n">
        <f aca="false">X13+X14</f>
        <v>17254.288216996</v>
      </c>
      <c r="Y15" s="37" t="n">
        <f aca="false">Y13+Y14</f>
        <v>17254.288216996</v>
      </c>
      <c r="Z15" s="37" t="n">
        <f aca="false">Z13+Z14</f>
        <v>17254.288216996</v>
      </c>
      <c r="AA15" s="37" t="n">
        <f aca="false">AA13+AA14</f>
        <v>21274.680100466</v>
      </c>
      <c r="AB15" s="37" t="n">
        <f aca="false">AB13+AB14</f>
        <v>20862.8561338109</v>
      </c>
      <c r="AC15" s="37" t="n">
        <f aca="false">AC13+AC14</f>
        <v>21089.2725701697</v>
      </c>
      <c r="AD15" s="37" t="n">
        <f aca="false">AD13+AD14</f>
        <v>21315.6890065285</v>
      </c>
      <c r="AE15" s="37" t="n">
        <f aca="false">AE13+AE14</f>
        <v>21542.1054428873</v>
      </c>
      <c r="AF15" s="37" t="n">
        <f aca="false">AF13+AF14</f>
        <v>21768.5218792461</v>
      </c>
      <c r="AG15" s="37" t="n">
        <f aca="false">AG13+AG14</f>
        <v>21994.938315605</v>
      </c>
      <c r="AH15" s="37" t="n">
        <f aca="false">AH13+AH14</f>
        <v>22221.3547519638</v>
      </c>
      <c r="AI15" s="37" t="n">
        <f aca="false">AI13+AI14</f>
        <v>22447.7711883226</v>
      </c>
      <c r="AJ15" s="37" t="n">
        <f aca="false">AJ13+AJ14</f>
        <v>22674.1876246814</v>
      </c>
      <c r="AK15" s="37" t="n">
        <f aca="false">AK13+AK14</f>
        <v>22900.6040610402</v>
      </c>
      <c r="AL15" s="37" t="n">
        <f aca="false">AL13+AL14</f>
        <v>23127.020497399</v>
      </c>
      <c r="AM15" s="37" t="n">
        <f aca="false">AM13+AM14</f>
        <v>23127.020497399</v>
      </c>
      <c r="AN15" s="37" t="n">
        <f aca="false">AN13+AN14</f>
        <v>22433.2098824771</v>
      </c>
      <c r="AO15" s="37" t="n">
        <f aca="false">AO13+AO14</f>
        <v>22433.2098824771</v>
      </c>
      <c r="AP15" s="37" t="n">
        <f aca="false">AP13+AP14</f>
        <v>22433.2098824771</v>
      </c>
      <c r="AQ15" s="37" t="n">
        <f aca="false">AQ13+AQ14</f>
        <v>22433.2098824771</v>
      </c>
      <c r="AR15" s="37" t="n">
        <f aca="false">AR13+AR14</f>
        <v>22433.2098824771</v>
      </c>
      <c r="AS15" s="37" t="n">
        <f aca="false">AS13+AS14</f>
        <v>22433.2098824771</v>
      </c>
      <c r="AT15" s="37" t="n">
        <f aca="false">AT13+AT14</f>
        <v>22433.2098824771</v>
      </c>
      <c r="AU15" s="37" t="n">
        <f aca="false">AU13+AU14</f>
        <v>22433.2098824771</v>
      </c>
      <c r="AV15" s="37" t="n">
        <f aca="false">AV13+AV14</f>
        <v>22433.2098824771</v>
      </c>
      <c r="AW15" s="37" t="n">
        <f aca="false">AW13+AW14</f>
        <v>22433.2098824771</v>
      </c>
      <c r="AX15" s="37" t="n">
        <f aca="false">AX13+AX14</f>
        <v>22433.2098824771</v>
      </c>
      <c r="AY15" s="37" t="n">
        <f aca="false">AY13+AY14</f>
        <v>22433.2098824771</v>
      </c>
      <c r="AZ15" s="37" t="n">
        <f aca="false">AZ13+AZ14</f>
        <v>21760.2135860028</v>
      </c>
      <c r="BA15" s="37" t="n">
        <f aca="false">BA13+BA14</f>
        <v>21760.2135860028</v>
      </c>
      <c r="BB15" s="37" t="n">
        <f aca="false">BB13+BB14</f>
        <v>21760.2135860028</v>
      </c>
      <c r="BC15" s="37" t="n">
        <f aca="false">BC13+BC14</f>
        <v>21760.2135860028</v>
      </c>
      <c r="BD15" s="37" t="n">
        <f aca="false">BD13+BD14</f>
        <v>21760.2135860028</v>
      </c>
      <c r="BE15" s="37" t="n">
        <f aca="false">BE13+BE14</f>
        <v>21760.2135860028</v>
      </c>
      <c r="BF15" s="37" t="n">
        <f aca="false">BF13+BF14</f>
        <v>21760.2135860028</v>
      </c>
      <c r="BG15" s="37" t="n">
        <f aca="false">BG13+BG14</f>
        <v>21760.2135860028</v>
      </c>
      <c r="BH15" s="37" t="n">
        <f aca="false">BH13+BH14</f>
        <v>21760.2135860028</v>
      </c>
      <c r="BI15" s="37" t="n">
        <f aca="false">BI13+BI14</f>
        <v>21760.2135860028</v>
      </c>
      <c r="BJ15" s="37" t="n">
        <f aca="false">BJ13+BJ14</f>
        <v>21760.2135860028</v>
      </c>
      <c r="BK15" s="37" t="n">
        <f aca="false">BK13+BK14</f>
        <v>21760.2135860028</v>
      </c>
      <c r="BL15" s="37" t="n">
        <f aca="false">BL13+BL14</f>
        <v>21760.2135860028</v>
      </c>
    </row>
    <row r="16" customFormat="false" ht="15" hidden="false" customHeight="true" outlineLevel="0" collapsed="false">
      <c r="A16" s="10" t="s">
        <v>436</v>
      </c>
      <c r="D16" s="15" t="n">
        <f aca="false">(s_Rd3k+s_Rd4k)/12*D7*D11*D6</f>
        <v>0</v>
      </c>
      <c r="E16" s="15" t="n">
        <f aca="false">(s_Rd3k+s_Rd4k)/12*E7*E11*E6</f>
        <v>0</v>
      </c>
      <c r="F16" s="15" t="n">
        <f aca="false">(s_Rd3k+s_Rd4k)/12*F7*F11*F6</f>
        <v>0</v>
      </c>
      <c r="G16" s="15" t="n">
        <f aca="false">(s_Rd3k+s_Rd4k)/12*G7*G11*G6</f>
        <v>0</v>
      </c>
      <c r="H16" s="15" t="n">
        <f aca="false">(s_Rd3k+s_Rd4k)/12*H7*H11*H6</f>
        <v>0</v>
      </c>
      <c r="I16" s="15" t="n">
        <f aca="false">(s_Rd3k+s_Rd4k)/12*I7*I11*I6</f>
        <v>0</v>
      </c>
      <c r="J16" s="15" t="n">
        <f aca="false">(s_Rd3k+s_Rd4k)/12*J7*J11*J6</f>
        <v>0</v>
      </c>
      <c r="K16" s="15" t="n">
        <f aca="false">(s_Rd3k+s_Rd4k)/12*K7*K11*K6</f>
        <v>0</v>
      </c>
      <c r="L16" s="15" t="n">
        <f aca="false">(s_Rd3k+s_Rd4k)/12*L7*L11*L6</f>
        <v>256.595457774047</v>
      </c>
      <c r="M16" s="15" t="n">
        <f aca="false">(s_Rd3k+s_Rd4k)/12*M7*M11*M6</f>
        <v>513.190915548094</v>
      </c>
      <c r="N16" s="15" t="n">
        <f aca="false">(s_Rd3k+s_Rd4k)/12*N7*N11*N6</f>
        <v>769.786373322141</v>
      </c>
      <c r="O16" s="15" t="n">
        <f aca="false">(s_Rd3k+s_Rd4k)/12*O7*O11*O6</f>
        <v>1026.38183109619</v>
      </c>
      <c r="P16" s="15" t="n">
        <f aca="false">(s_Rd3k+s_Rd4k)/12*P7*P11*P6</f>
        <v>1282.97728887023</v>
      </c>
      <c r="Q16" s="15" t="n">
        <f aca="false">(s_Rd3k+s_Rd4k)/12*Q7*Q11*Q6</f>
        <v>1539.57274664428</v>
      </c>
      <c r="R16" s="15" t="n">
        <f aca="false">(s_Rd3k+s_Rd4k)/12*R7*R11*R6</f>
        <v>1796.16820441833</v>
      </c>
      <c r="S16" s="15" t="n">
        <f aca="false">(s_Rd3k+s_Rd4k)/12*S7*S11*S6</f>
        <v>2052.76366219238</v>
      </c>
      <c r="T16" s="15" t="n">
        <f aca="false">(s_Rd3k+s_Rd4k)/12*T7*T11*T6</f>
        <v>2309.35911996642</v>
      </c>
      <c r="U16" s="15" t="n">
        <f aca="false">(s_Rd3k+s_Rd4k)/12*U7*U11*U6</f>
        <v>2565.95457774047</v>
      </c>
      <c r="V16" s="15" t="n">
        <f aca="false">(s_Rd3k+s_Rd4k)/12*V7*V11*V6</f>
        <v>2822.55003551452</v>
      </c>
      <c r="W16" s="15" t="n">
        <f aca="false">(s_Rd3k+s_Rd4k)/12*W7*W11*W6</f>
        <v>3079.14549328856</v>
      </c>
      <c r="X16" s="15" t="n">
        <f aca="false">(s_Rd3k+s_Rd4k)/12*X7*X11*X6</f>
        <v>3079.14549328856</v>
      </c>
      <c r="Y16" s="15" t="n">
        <f aca="false">(s_Rd3k+s_Rd4k)/12*Y7*Y11*Y6</f>
        <v>3079.14549328856</v>
      </c>
      <c r="Z16" s="15" t="n">
        <f aca="false">(s_Rd3k+s_Rd4k)/12*Z7*Z11*Z6</f>
        <v>3079.14549328856</v>
      </c>
      <c r="AA16" s="15" t="n">
        <f aca="false">(s_Rd3k+s_Rd4k)/12*AA7*AA11*AA6</f>
        <v>3177.11830443865</v>
      </c>
      <c r="AB16" s="15" t="n">
        <f aca="false">(s_Rd3k+s_Rd4k)/12*AB7*AB11*AB6</f>
        <v>3275.09111558874</v>
      </c>
      <c r="AC16" s="15" t="n">
        <f aca="false">(s_Rd3k+s_Rd4k)/12*AC7*AC11*AC6</f>
        <v>3373.06392673883</v>
      </c>
      <c r="AD16" s="15" t="n">
        <f aca="false">(s_Rd3k+s_Rd4k)/12*AD7*AD11*AD6</f>
        <v>3471.03673788893</v>
      </c>
      <c r="AE16" s="15" t="n">
        <f aca="false">(s_Rd3k+s_Rd4k)/12*AE7*AE11*AE6</f>
        <v>3569.00954903902</v>
      </c>
      <c r="AF16" s="15" t="n">
        <f aca="false">(s_Rd3k+s_Rd4k)/12*AF7*AF11*AF6</f>
        <v>3666.98236018911</v>
      </c>
      <c r="AG16" s="15" t="n">
        <f aca="false">(s_Rd3k+s_Rd4k)/12*AG7*AG11*AG6</f>
        <v>3764.9551713392</v>
      </c>
      <c r="AH16" s="15" t="n">
        <f aca="false">(s_Rd3k+s_Rd4k)/12*AH7*AH11*AH6</f>
        <v>3862.92798248929</v>
      </c>
      <c r="AI16" s="15" t="n">
        <f aca="false">(s_Rd3k+s_Rd4k)/12*AI7*AI11*AI6</f>
        <v>3960.90079363938</v>
      </c>
      <c r="AJ16" s="15" t="n">
        <f aca="false">(s_Rd3k+s_Rd4k)/12*AJ7*AJ11*AJ6</f>
        <v>4058.87360478947</v>
      </c>
      <c r="AK16" s="15" t="n">
        <f aca="false">(s_Rd3k+s_Rd4k)/12*AK7*AK11*AK6</f>
        <v>4156.84641593956</v>
      </c>
      <c r="AL16" s="15" t="n">
        <f aca="false">(s_Rd3k+s_Rd4k)/12*AL7*AL11*AL6</f>
        <v>4254.81922708965</v>
      </c>
      <c r="AM16" s="15" t="n">
        <f aca="false">(s_Rd3k+s_Rd4k)/12*AM7*AM11*AM6</f>
        <v>4254.81922708965</v>
      </c>
      <c r="AN16" s="15" t="n">
        <f aca="false">(s_Rd3k+s_Rd4k)/12*AN7*AN11*AN6</f>
        <v>4254.81922708965</v>
      </c>
      <c r="AO16" s="15" t="n">
        <f aca="false">(s_Rd3k+s_Rd4k)/12*AO7*AO11*AO6</f>
        <v>4254.81922708965</v>
      </c>
      <c r="AP16" s="15" t="n">
        <f aca="false">(s_Rd3k+s_Rd4k)/12*AP7*AP11*AP6</f>
        <v>4254.81922708965</v>
      </c>
      <c r="AQ16" s="15" t="n">
        <f aca="false">(s_Rd3k+s_Rd4k)/12*AQ7*AQ11*AQ6</f>
        <v>4254.81922708965</v>
      </c>
      <c r="AR16" s="15" t="n">
        <f aca="false">(s_Rd3k+s_Rd4k)/12*AR7*AR11*AR6</f>
        <v>4254.81922708965</v>
      </c>
      <c r="AS16" s="15" t="n">
        <f aca="false">(s_Rd3k+s_Rd4k)/12*AS7*AS11*AS6</f>
        <v>4254.81922708965</v>
      </c>
      <c r="AT16" s="15" t="n">
        <f aca="false">(s_Rd3k+s_Rd4k)/12*AT7*AT11*AT6</f>
        <v>4254.81922708965</v>
      </c>
      <c r="AU16" s="15" t="n">
        <f aca="false">(s_Rd3k+s_Rd4k)/12*AU7*AU11*AU6</f>
        <v>4254.81922708965</v>
      </c>
      <c r="AV16" s="15" t="n">
        <f aca="false">(s_Rd3k+s_Rd4k)/12*AV7*AV11*AV6</f>
        <v>4254.81922708965</v>
      </c>
      <c r="AW16" s="15" t="n">
        <f aca="false">(s_Rd3k+s_Rd4k)/12*AW7*AW11*AW6</f>
        <v>4254.81922708965</v>
      </c>
      <c r="AX16" s="15" t="n">
        <f aca="false">(s_Rd3k+s_Rd4k)/12*AX7*AX11*AX6</f>
        <v>4254.81922708965</v>
      </c>
      <c r="AY16" s="15" t="n">
        <f aca="false">(s_Rd3k+s_Rd4k)/12*AY7*AY11*AY6</f>
        <v>4254.81922708965</v>
      </c>
      <c r="AZ16" s="15" t="n">
        <f aca="false">(s_Rd3k+s_Rd4k)/12*AZ7*AZ11*AZ6</f>
        <v>4254.81922708965</v>
      </c>
      <c r="BA16" s="15" t="n">
        <f aca="false">(s_Rd3k+s_Rd4k)/12*BA7*BA11*BA6</f>
        <v>4254.81922708965</v>
      </c>
      <c r="BB16" s="15" t="n">
        <f aca="false">(s_Rd3k+s_Rd4k)/12*BB7*BB11*BB6</f>
        <v>4254.81922708965</v>
      </c>
      <c r="BC16" s="15" t="n">
        <f aca="false">(s_Rd3k+s_Rd4k)/12*BC7*BC11*BC6</f>
        <v>4254.81922708965</v>
      </c>
      <c r="BD16" s="15" t="n">
        <f aca="false">(s_Rd3k+s_Rd4k)/12*BD7*BD11*BD6</f>
        <v>4254.81922708965</v>
      </c>
      <c r="BE16" s="15" t="n">
        <f aca="false">(s_Rd3k+s_Rd4k)/12*BE7*BE11*BE6</f>
        <v>4254.81922708965</v>
      </c>
      <c r="BF16" s="15" t="n">
        <f aca="false">(s_Rd3k+s_Rd4k)/12*BF7*BF11*BF6</f>
        <v>4254.81922708965</v>
      </c>
      <c r="BG16" s="15" t="n">
        <f aca="false">(s_Rd3k+s_Rd4k)/12*BG7*BG11*BG6</f>
        <v>4254.81922708965</v>
      </c>
      <c r="BH16" s="15" t="n">
        <f aca="false">(s_Rd3k+s_Rd4k)/12*BH7*BH11*BH6</f>
        <v>4254.81922708965</v>
      </c>
      <c r="BI16" s="15" t="n">
        <f aca="false">(s_Rd3k+s_Rd4k)/12*BI7*BI11*BI6</f>
        <v>4254.81922708965</v>
      </c>
      <c r="BJ16" s="15" t="n">
        <f aca="false">(s_Rd3k+s_Rd4k)/12*BJ7*BJ11*BJ6</f>
        <v>4254.81922708965</v>
      </c>
      <c r="BK16" s="15" t="n">
        <f aca="false">(s_Rd3k+s_Rd4k)/12*BK7*BK11*BK6</f>
        <v>4254.81922708965</v>
      </c>
      <c r="BL16" s="15" t="n">
        <f aca="false">(s_Rd3k+s_Rd4k)/12*BL7*BL11*BL6</f>
        <v>4254.81922708965</v>
      </c>
    </row>
    <row r="17" customFormat="false" ht="15" hidden="false" customHeight="true" outlineLevel="0" collapsed="false">
      <c r="A17" s="10" t="s">
        <v>437</v>
      </c>
      <c r="D17" s="15" t="n">
        <f aca="false">(s_Rc1k*p_pwin_cen+s_Rc2k*p_pwin_cen*p_minsa_occ)/12*D9*D12*D6</f>
        <v>0</v>
      </c>
      <c r="E17" s="15" t="n">
        <f aca="false">(s_Rc1k*p_pwin_cen+s_Rc2k*p_pwin_cen*p_minsa_occ)/12*E9*E12*E6</f>
        <v>0</v>
      </c>
      <c r="F17" s="15" t="n">
        <f aca="false">(s_Rc1k*p_pwin_cen+s_Rc2k*p_pwin_cen*p_minsa_occ)/12*F9*F12*F6</f>
        <v>0</v>
      </c>
      <c r="G17" s="15" t="n">
        <f aca="false">(s_Rc1k*p_pwin_cen+s_Rc2k*p_pwin_cen*p_minsa_occ)/12*G9*G12*G6</f>
        <v>0</v>
      </c>
      <c r="H17" s="15" t="n">
        <f aca="false">(s_Rc1k*p_pwin_cen+s_Rc2k*p_pwin_cen*p_minsa_occ)/12*H9*H12*H6</f>
        <v>0</v>
      </c>
      <c r="I17" s="15" t="n">
        <f aca="false">(s_Rc1k*p_pwin_cen+s_Rc2k*p_pwin_cen*p_minsa_occ)/12*I9*I12*I6</f>
        <v>0</v>
      </c>
      <c r="J17" s="15" t="n">
        <f aca="false">(s_Rc1k*p_pwin_cen+s_Rc2k*p_pwin_cen*p_minsa_occ)/12*J9*J12*J6</f>
        <v>0</v>
      </c>
      <c r="K17" s="15" t="n">
        <f aca="false">(s_Rc1k*p_pwin_cen+s_Rc2k*p_pwin_cen*p_minsa_occ)/12*K9*K12*K6</f>
        <v>0</v>
      </c>
      <c r="L17" s="15" t="n">
        <f aca="false">(s_Rc1k*p_pwin_cen+s_Rc2k*p_pwin_cen*p_minsa_occ)/12*L9*L12*L6</f>
        <v>0</v>
      </c>
      <c r="M17" s="15" t="n">
        <f aca="false">(s_Rc1k*p_pwin_cen+s_Rc2k*p_pwin_cen*p_minsa_occ)/12*M9*M12*M6</f>
        <v>0</v>
      </c>
      <c r="N17" s="15" t="n">
        <f aca="false">(s_Rc1k*p_pwin_cen+s_Rc2k*p_pwin_cen*p_minsa_occ)/12*N9*N12*N6</f>
        <v>0</v>
      </c>
      <c r="O17" s="15" t="n">
        <f aca="false">(s_Rc1k*p_pwin_cen+s_Rc2k*p_pwin_cen*p_minsa_occ)/12*O9*O12*O6</f>
        <v>0</v>
      </c>
      <c r="P17" s="15" t="n">
        <f aca="false">(s_Rc1k*p_pwin_cen+s_Rc2k*p_pwin_cen*p_minsa_occ)/12*P9*P12*P6</f>
        <v>0</v>
      </c>
      <c r="Q17" s="15" t="n">
        <f aca="false">(s_Rc1k*p_pwin_cen+s_Rc2k*p_pwin_cen*p_minsa_occ)/12*Q9*Q12*Q6</f>
        <v>0</v>
      </c>
      <c r="R17" s="15" t="n">
        <f aca="false">(s_Rc1k*p_pwin_cen+s_Rc2k*p_pwin_cen*p_minsa_occ)/12*R9*R12*R6</f>
        <v>3695.21539831828</v>
      </c>
      <c r="S17" s="15" t="n">
        <f aca="false">(s_Rc1k*p_pwin_cen+s_Rc2k*p_pwin_cen*p_minsa_occ)/12*S9*S12*S6</f>
        <v>3695.21539831828</v>
      </c>
      <c r="T17" s="15" t="n">
        <f aca="false">(s_Rc1k*p_pwin_cen+s_Rc2k*p_pwin_cen*p_minsa_occ)/12*T9*T12*T6</f>
        <v>3695.21539831828</v>
      </c>
      <c r="U17" s="15" t="n">
        <f aca="false">(s_Rc1k*p_pwin_cen+s_Rc2k*p_pwin_cen*p_minsa_occ)/12*U9*U12*U6</f>
        <v>3695.21539831828</v>
      </c>
      <c r="V17" s="15" t="n">
        <f aca="false">(s_Rc1k*p_pwin_cen+s_Rc2k*p_pwin_cen*p_minsa_occ)/12*V9*V12*V6</f>
        <v>3695.21539831828</v>
      </c>
      <c r="W17" s="15" t="n">
        <f aca="false">(s_Rc1k*p_pwin_cen+s_Rc2k*p_pwin_cen*p_minsa_occ)/12*W9*W12*W6</f>
        <v>3695.21539831828</v>
      </c>
      <c r="X17" s="15" t="n">
        <f aca="false">(s_Rc1k*p_pwin_cen+s_Rc2k*p_pwin_cen*p_minsa_occ)/12*X9*X12*X6</f>
        <v>3695.21539831828</v>
      </c>
      <c r="Y17" s="15" t="n">
        <f aca="false">(s_Rc1k*p_pwin_cen+s_Rc2k*p_pwin_cen*p_minsa_occ)/12*Y9*Y12*Y6</f>
        <v>3695.21539831828</v>
      </c>
      <c r="Z17" s="15" t="n">
        <f aca="false">(s_Rc1k*p_pwin_cen+s_Rc2k*p_pwin_cen*p_minsa_occ)/12*Z9*Z12*Z6</f>
        <v>3695.21539831828</v>
      </c>
      <c r="AA17" s="15" t="n">
        <f aca="false">(s_Rc1k*p_pwin_cen+s_Rc2k*p_pwin_cen*p_minsa_occ)/12*AA9*AA12*AA6</f>
        <v>5106.11582313072</v>
      </c>
      <c r="AB17" s="15" t="n">
        <f aca="false">(s_Rc1k*p_pwin_cen+s_Rc2k*p_pwin_cen*p_minsa_occ)/12*AB9*AB12*AB6</f>
        <v>5106.11582313072</v>
      </c>
      <c r="AC17" s="15" t="n">
        <f aca="false">(s_Rc1k*p_pwin_cen+s_Rc2k*p_pwin_cen*p_minsa_occ)/12*AC9*AC12*AC6</f>
        <v>5106.11582313072</v>
      </c>
      <c r="AD17" s="15" t="n">
        <f aca="false">(s_Rc1k*p_pwin_cen+s_Rc2k*p_pwin_cen*p_minsa_occ)/12*AD9*AD12*AD6</f>
        <v>5106.11582313072</v>
      </c>
      <c r="AE17" s="15" t="n">
        <f aca="false">(s_Rc1k*p_pwin_cen+s_Rc2k*p_pwin_cen*p_minsa_occ)/12*AE9*AE12*AE6</f>
        <v>5106.11582313072</v>
      </c>
      <c r="AF17" s="15" t="n">
        <f aca="false">(s_Rc1k*p_pwin_cen+s_Rc2k*p_pwin_cen*p_minsa_occ)/12*AF9*AF12*AF6</f>
        <v>5106.11582313072</v>
      </c>
      <c r="AG17" s="15" t="n">
        <f aca="false">(s_Rc1k*p_pwin_cen+s_Rc2k*p_pwin_cen*p_minsa_occ)/12*AG9*AG12*AG6</f>
        <v>5106.11582313072</v>
      </c>
      <c r="AH17" s="15" t="n">
        <f aca="false">(s_Rc1k*p_pwin_cen+s_Rc2k*p_pwin_cen*p_minsa_occ)/12*AH9*AH12*AH6</f>
        <v>5106.11582313072</v>
      </c>
      <c r="AI17" s="15" t="n">
        <f aca="false">(s_Rc1k*p_pwin_cen+s_Rc2k*p_pwin_cen*p_minsa_occ)/12*AI9*AI12*AI6</f>
        <v>5106.11582313072</v>
      </c>
      <c r="AJ17" s="15" t="n">
        <f aca="false">(s_Rc1k*p_pwin_cen+s_Rc2k*p_pwin_cen*p_minsa_occ)/12*AJ9*AJ12*AJ6</f>
        <v>5106.11582313072</v>
      </c>
      <c r="AK17" s="15" t="n">
        <f aca="false">(s_Rc1k*p_pwin_cen+s_Rc2k*p_pwin_cen*p_minsa_occ)/12*AK9*AK12*AK6</f>
        <v>5106.11582313072</v>
      </c>
      <c r="AL17" s="15" t="n">
        <f aca="false">(s_Rc1k*p_pwin_cen+s_Rc2k*p_pwin_cen*p_minsa_occ)/12*AL9*AL12*AL6</f>
        <v>5106.11582313072</v>
      </c>
      <c r="AM17" s="15" t="n">
        <f aca="false">(s_Rc1k*p_pwin_cen+s_Rc2k*p_pwin_cen*p_minsa_occ)/12*AM9*AM12*AM6</f>
        <v>5106.11582313072</v>
      </c>
      <c r="AN17" s="15" t="n">
        <f aca="false">(s_Rc1k*p_pwin_cen+s_Rc2k*p_pwin_cen*p_minsa_occ)/12*AN9*AN12*AN6</f>
        <v>5106.11582313072</v>
      </c>
      <c r="AO17" s="15" t="n">
        <f aca="false">(s_Rc1k*p_pwin_cen+s_Rc2k*p_pwin_cen*p_minsa_occ)/12*AO9*AO12*AO6</f>
        <v>5106.11582313072</v>
      </c>
      <c r="AP17" s="15" t="n">
        <f aca="false">(s_Rc1k*p_pwin_cen+s_Rc2k*p_pwin_cen*p_minsa_occ)/12*AP9*AP12*AP6</f>
        <v>5106.11582313072</v>
      </c>
      <c r="AQ17" s="15" t="n">
        <f aca="false">(s_Rc1k*p_pwin_cen+s_Rc2k*p_pwin_cen*p_minsa_occ)/12*AQ9*AQ12*AQ6</f>
        <v>5106.11582313072</v>
      </c>
      <c r="AR17" s="15" t="n">
        <f aca="false">(s_Rc1k*p_pwin_cen+s_Rc2k*p_pwin_cen*p_minsa_occ)/12*AR9*AR12*AR6</f>
        <v>5106.11582313072</v>
      </c>
      <c r="AS17" s="15" t="n">
        <f aca="false">(s_Rc1k*p_pwin_cen+s_Rc2k*p_pwin_cen*p_minsa_occ)/12*AS9*AS12*AS6</f>
        <v>5106.11582313072</v>
      </c>
      <c r="AT17" s="15" t="n">
        <f aca="false">(s_Rc1k*p_pwin_cen+s_Rc2k*p_pwin_cen*p_minsa_occ)/12*AT9*AT12*AT6</f>
        <v>5106.11582313072</v>
      </c>
      <c r="AU17" s="15" t="n">
        <f aca="false">(s_Rc1k*p_pwin_cen+s_Rc2k*p_pwin_cen*p_minsa_occ)/12*AU9*AU12*AU6</f>
        <v>5106.11582313072</v>
      </c>
      <c r="AV17" s="15" t="n">
        <f aca="false">(s_Rc1k*p_pwin_cen+s_Rc2k*p_pwin_cen*p_minsa_occ)/12*AV9*AV12*AV6</f>
        <v>5106.11582313072</v>
      </c>
      <c r="AW17" s="15" t="n">
        <f aca="false">(s_Rc1k*p_pwin_cen+s_Rc2k*p_pwin_cen*p_minsa_occ)/12*AW9*AW12*AW6</f>
        <v>5106.11582313072</v>
      </c>
      <c r="AX17" s="15" t="n">
        <f aca="false">(s_Rc1k*p_pwin_cen+s_Rc2k*p_pwin_cen*p_minsa_occ)/12*AX9*AX12*AX6</f>
        <v>5106.11582313072</v>
      </c>
      <c r="AY17" s="15" t="n">
        <f aca="false">(s_Rc1k*p_pwin_cen+s_Rc2k*p_pwin_cen*p_minsa_occ)/12*AY9*AY12*AY6</f>
        <v>5106.11582313072</v>
      </c>
      <c r="AZ17" s="15" t="n">
        <f aca="false">(s_Rc1k*p_pwin_cen+s_Rc2k*p_pwin_cen*p_minsa_occ)/12*AZ9*AZ12*AZ6</f>
        <v>5106.11582313072</v>
      </c>
      <c r="BA17" s="15" t="n">
        <f aca="false">(s_Rc1k*p_pwin_cen+s_Rc2k*p_pwin_cen*p_minsa_occ)/12*BA9*BA12*BA6</f>
        <v>5106.11582313072</v>
      </c>
      <c r="BB17" s="15" t="n">
        <f aca="false">(s_Rc1k*p_pwin_cen+s_Rc2k*p_pwin_cen*p_minsa_occ)/12*BB9*BB12*BB6</f>
        <v>5106.11582313072</v>
      </c>
      <c r="BC17" s="15" t="n">
        <f aca="false">(s_Rc1k*p_pwin_cen+s_Rc2k*p_pwin_cen*p_minsa_occ)/12*BC9*BC12*BC6</f>
        <v>5106.11582313072</v>
      </c>
      <c r="BD17" s="15" t="n">
        <f aca="false">(s_Rc1k*p_pwin_cen+s_Rc2k*p_pwin_cen*p_minsa_occ)/12*BD9*BD12*BD6</f>
        <v>5106.11582313072</v>
      </c>
      <c r="BE17" s="15" t="n">
        <f aca="false">(s_Rc1k*p_pwin_cen+s_Rc2k*p_pwin_cen*p_minsa_occ)/12*BE9*BE12*BE6</f>
        <v>5106.11582313072</v>
      </c>
      <c r="BF17" s="15" t="n">
        <f aca="false">(s_Rc1k*p_pwin_cen+s_Rc2k*p_pwin_cen*p_minsa_occ)/12*BF9*BF12*BF6</f>
        <v>5106.11582313072</v>
      </c>
      <c r="BG17" s="15" t="n">
        <f aca="false">(s_Rc1k*p_pwin_cen+s_Rc2k*p_pwin_cen*p_minsa_occ)/12*BG9*BG12*BG6</f>
        <v>5106.11582313072</v>
      </c>
      <c r="BH17" s="15" t="n">
        <f aca="false">(s_Rc1k*p_pwin_cen+s_Rc2k*p_pwin_cen*p_minsa_occ)/12*BH9*BH12*BH6</f>
        <v>5106.11582313072</v>
      </c>
      <c r="BI17" s="15" t="n">
        <f aca="false">(s_Rc1k*p_pwin_cen+s_Rc2k*p_pwin_cen*p_minsa_occ)/12*BI9*BI12*BI6</f>
        <v>5106.11582313072</v>
      </c>
      <c r="BJ17" s="15" t="n">
        <f aca="false">(s_Rc1k*p_pwin_cen+s_Rc2k*p_pwin_cen*p_minsa_occ)/12*BJ9*BJ12*BJ6</f>
        <v>5106.11582313072</v>
      </c>
      <c r="BK17" s="15" t="n">
        <f aca="false">(s_Rc1k*p_pwin_cen+s_Rc2k*p_pwin_cen*p_minsa_occ)/12*BK9*BK12*BK6</f>
        <v>5106.11582313072</v>
      </c>
      <c r="BL17" s="15" t="n">
        <f aca="false">(s_Rc1k*p_pwin_cen+s_Rc2k*p_pwin_cen*p_minsa_occ)/12*BL9*BL12*BL6</f>
        <v>5106.11582313072</v>
      </c>
    </row>
    <row r="18" customFormat="false" ht="15" hidden="false" customHeight="true" outlineLevel="0" collapsed="false">
      <c r="A18" s="36" t="s">
        <v>438</v>
      </c>
      <c r="B18" s="32"/>
      <c r="C18" s="32"/>
      <c r="D18" s="37" t="n">
        <f aca="false">D16+D17</f>
        <v>0</v>
      </c>
      <c r="E18" s="37" t="n">
        <f aca="false">E16+E17</f>
        <v>0</v>
      </c>
      <c r="F18" s="37" t="n">
        <f aca="false">F16+F17</f>
        <v>0</v>
      </c>
      <c r="G18" s="37" t="n">
        <f aca="false">G16+G17</f>
        <v>0</v>
      </c>
      <c r="H18" s="37" t="n">
        <f aca="false">H16+H17</f>
        <v>0</v>
      </c>
      <c r="I18" s="37" t="n">
        <f aca="false">I16+I17</f>
        <v>0</v>
      </c>
      <c r="J18" s="37" t="n">
        <f aca="false">J16+J17</f>
        <v>0</v>
      </c>
      <c r="K18" s="37" t="n">
        <f aca="false">K16+K17</f>
        <v>0</v>
      </c>
      <c r="L18" s="37" t="n">
        <f aca="false">L16+L17</f>
        <v>256.595457774047</v>
      </c>
      <c r="M18" s="37" t="n">
        <f aca="false">M16+M17</f>
        <v>513.190915548094</v>
      </c>
      <c r="N18" s="37" t="n">
        <f aca="false">N16+N17</f>
        <v>769.786373322141</v>
      </c>
      <c r="O18" s="37" t="n">
        <f aca="false">O16+O17</f>
        <v>1026.38183109619</v>
      </c>
      <c r="P18" s="37" t="n">
        <f aca="false">P16+P17</f>
        <v>1282.97728887023</v>
      </c>
      <c r="Q18" s="37" t="n">
        <f aca="false">Q16+Q17</f>
        <v>1539.57274664428</v>
      </c>
      <c r="R18" s="37" t="n">
        <f aca="false">R16+R17</f>
        <v>5491.38360273661</v>
      </c>
      <c r="S18" s="37" t="n">
        <f aca="false">S16+S17</f>
        <v>5747.97906051066</v>
      </c>
      <c r="T18" s="37" t="n">
        <f aca="false">T16+T17</f>
        <v>6004.5745182847</v>
      </c>
      <c r="U18" s="37" t="n">
        <f aca="false">U16+U17</f>
        <v>6261.16997605875</v>
      </c>
      <c r="V18" s="37" t="n">
        <f aca="false">V16+V17</f>
        <v>6517.7654338328</v>
      </c>
      <c r="W18" s="37" t="n">
        <f aca="false">W16+W17</f>
        <v>6774.36089160684</v>
      </c>
      <c r="X18" s="37" t="n">
        <f aca="false">X16+X17</f>
        <v>6774.36089160684</v>
      </c>
      <c r="Y18" s="37" t="n">
        <f aca="false">Y16+Y17</f>
        <v>6774.36089160684</v>
      </c>
      <c r="Z18" s="37" t="n">
        <f aca="false">Z16+Z17</f>
        <v>6774.36089160684</v>
      </c>
      <c r="AA18" s="37" t="n">
        <f aca="false">AA16+AA17</f>
        <v>8283.23412756937</v>
      </c>
      <c r="AB18" s="37" t="n">
        <f aca="false">AB16+AB17</f>
        <v>8381.20693871946</v>
      </c>
      <c r="AC18" s="37" t="n">
        <f aca="false">AC16+AC17</f>
        <v>8479.17974986955</v>
      </c>
      <c r="AD18" s="37" t="n">
        <f aca="false">AD16+AD17</f>
        <v>8577.15256101964</v>
      </c>
      <c r="AE18" s="37" t="n">
        <f aca="false">AE16+AE17</f>
        <v>8675.12537216973</v>
      </c>
      <c r="AF18" s="37" t="n">
        <f aca="false">AF16+AF17</f>
        <v>8773.09818331982</v>
      </c>
      <c r="AG18" s="37" t="n">
        <f aca="false">AG16+AG17</f>
        <v>8871.07099446991</v>
      </c>
      <c r="AH18" s="37" t="n">
        <f aca="false">AH16+AH17</f>
        <v>8969.04380562</v>
      </c>
      <c r="AI18" s="37" t="n">
        <f aca="false">AI16+AI17</f>
        <v>9067.01661677009</v>
      </c>
      <c r="AJ18" s="37" t="n">
        <f aca="false">AJ16+AJ17</f>
        <v>9164.98942792018</v>
      </c>
      <c r="AK18" s="37" t="n">
        <f aca="false">AK16+AK17</f>
        <v>9262.96223907028</v>
      </c>
      <c r="AL18" s="37" t="n">
        <f aca="false">AL16+AL17</f>
        <v>9360.93505022037</v>
      </c>
      <c r="AM18" s="37" t="n">
        <f aca="false">AM16+AM17</f>
        <v>9360.93505022037</v>
      </c>
      <c r="AN18" s="37" t="n">
        <f aca="false">AN16+AN17</f>
        <v>9360.93505022037</v>
      </c>
      <c r="AO18" s="37" t="n">
        <f aca="false">AO16+AO17</f>
        <v>9360.93505022037</v>
      </c>
      <c r="AP18" s="37" t="n">
        <f aca="false">AP16+AP17</f>
        <v>9360.93505022037</v>
      </c>
      <c r="AQ18" s="37" t="n">
        <f aca="false">AQ16+AQ17</f>
        <v>9360.93505022037</v>
      </c>
      <c r="AR18" s="37" t="n">
        <f aca="false">AR16+AR17</f>
        <v>9360.93505022037</v>
      </c>
      <c r="AS18" s="37" t="n">
        <f aca="false">AS16+AS17</f>
        <v>9360.93505022037</v>
      </c>
      <c r="AT18" s="37" t="n">
        <f aca="false">AT16+AT17</f>
        <v>9360.93505022037</v>
      </c>
      <c r="AU18" s="37" t="n">
        <f aca="false">AU16+AU17</f>
        <v>9360.93505022037</v>
      </c>
      <c r="AV18" s="37" t="n">
        <f aca="false">AV16+AV17</f>
        <v>9360.93505022037</v>
      </c>
      <c r="AW18" s="37" t="n">
        <f aca="false">AW16+AW17</f>
        <v>9360.93505022037</v>
      </c>
      <c r="AX18" s="37" t="n">
        <f aca="false">AX16+AX17</f>
        <v>9360.93505022037</v>
      </c>
      <c r="AY18" s="37" t="n">
        <f aca="false">AY16+AY17</f>
        <v>9360.93505022037</v>
      </c>
      <c r="AZ18" s="37" t="n">
        <f aca="false">AZ16+AZ17</f>
        <v>9360.93505022037</v>
      </c>
      <c r="BA18" s="37" t="n">
        <f aca="false">BA16+BA17</f>
        <v>9360.93505022037</v>
      </c>
      <c r="BB18" s="37" t="n">
        <f aca="false">BB16+BB17</f>
        <v>9360.93505022037</v>
      </c>
      <c r="BC18" s="37" t="n">
        <f aca="false">BC16+BC17</f>
        <v>9360.93505022037</v>
      </c>
      <c r="BD18" s="37" t="n">
        <f aca="false">BD16+BD17</f>
        <v>9360.93505022037</v>
      </c>
      <c r="BE18" s="37" t="n">
        <f aca="false">BE16+BE17</f>
        <v>9360.93505022037</v>
      </c>
      <c r="BF18" s="37" t="n">
        <f aca="false">BF16+BF17</f>
        <v>9360.93505022037</v>
      </c>
      <c r="BG18" s="37" t="n">
        <f aca="false">BG16+BG17</f>
        <v>9360.93505022037</v>
      </c>
      <c r="BH18" s="37" t="n">
        <f aca="false">BH16+BH17</f>
        <v>9360.93505022037</v>
      </c>
      <c r="BI18" s="37" t="n">
        <f aca="false">BI16+BI17</f>
        <v>9360.93505022037</v>
      </c>
      <c r="BJ18" s="37" t="n">
        <f aca="false">BJ16+BJ17</f>
        <v>9360.93505022037</v>
      </c>
      <c r="BK18" s="37" t="n">
        <f aca="false">BK16+BK17</f>
        <v>9360.93505022037</v>
      </c>
      <c r="BL18" s="37" t="n">
        <f aca="false">BL16+BL17</f>
        <v>9360.93505022037</v>
      </c>
    </row>
    <row r="19" customFormat="false" ht="15" hidden="false" customHeight="true" outlineLevel="0" collapsed="false">
      <c r="A19" s="10" t="s">
        <v>439</v>
      </c>
      <c r="C19" s="15" t="n">
        <v>0</v>
      </c>
      <c r="D19" s="15" t="n">
        <f aca="false">IF(AND(D$3&gt;=c_first_dec,D$3&lt;=ROUND(p_stop_det,0)),(s_Rd3k+s_Rd4k)/12*E7*E11*p_cover_m+(s_Rc1k*p_pwin_cen+s_Rc2k*p_pwin_cen*p_minsa_occ)/12*E9*E12*p_cen_stock_m,0)</f>
        <v>0</v>
      </c>
      <c r="E19" s="15" t="n">
        <f aca="false">IF(AND(E$3&gt;=c_first_dec,E$3&lt;=ROUND(p_stop_det,0)),(s_Rd3k+s_Rd4k)/12*F7*F11*p_cover_m+(s_Rc1k*p_pwin_cen+s_Rc2k*p_pwin_cen*p_minsa_occ)/12*F9*F12*p_cen_stock_m,0)</f>
        <v>0</v>
      </c>
      <c r="F19" s="15" t="n">
        <f aca="false">IF(AND(F$3&gt;=c_first_dec,F$3&lt;=ROUND(p_stop_det,0)),(s_Rd3k+s_Rd4k)/12*G7*G11*p_cover_m+(s_Rc1k*p_pwin_cen+s_Rc2k*p_pwin_cen*p_minsa_occ)/12*G9*G12*p_cen_stock_m,0)</f>
        <v>0</v>
      </c>
      <c r="G19" s="15" t="n">
        <f aca="false">IF(AND(G$3&gt;=c_first_dec,G$3&lt;=ROUND(p_stop_det,0)),(s_Rd3k+s_Rd4k)/12*H7*H11*p_cover_m+(s_Rc1k*p_pwin_cen+s_Rc2k*p_pwin_cen*p_minsa_occ)/12*H9*H12*p_cen_stock_m,0)</f>
        <v>0</v>
      </c>
      <c r="H19" s="15" t="n">
        <f aca="false">IF(AND(H$3&gt;=c_first_dec,H$3&lt;=ROUND(p_stop_det,0)),(s_Rd3k+s_Rd4k)/12*I7*I11*p_cover_m+(s_Rc1k*p_pwin_cen+s_Rc2k*p_pwin_cen*p_minsa_occ)/12*I9*I12*p_cen_stock_m,0)</f>
        <v>0</v>
      </c>
      <c r="I19" s="15" t="n">
        <f aca="false">IF(AND(I$3&gt;=c_first_dec,I$3&lt;=ROUND(p_stop_det,0)),(s_Rd3k+s_Rd4k)/12*J7*J11*p_cover_m+(s_Rc1k*p_pwin_cen+s_Rc2k*p_pwin_cen*p_minsa_occ)/12*J9*J12*p_cen_stock_m,0)</f>
        <v>0</v>
      </c>
      <c r="J19" s="15" t="n">
        <f aca="false">IF(AND(J$3&gt;=c_first_dec,J$3&lt;=ROUND(p_stop_det,0)),(s_Rd3k+s_Rd4k)/12*K7*K11*p_cover_m+(s_Rc1k*p_pwin_cen+s_Rc2k*p_pwin_cen*p_minsa_occ)/12*K9*K12*p_cen_stock_m,0)</f>
        <v>0</v>
      </c>
      <c r="K19" s="15" t="n">
        <f aca="false">IF(AND(K$3&gt;=c_first_dec,K$3&lt;=ROUND(p_stop_det,0)),(s_Rd3k+s_Rd4k)/12*L7*L11*p_cover_m+(s_Rc1k*p_pwin_cen+s_Rc2k*p_pwin_cen*p_minsa_occ)/12*L9*L12*p_cen_stock_m,0)</f>
        <v>0</v>
      </c>
      <c r="L19" s="15" t="n">
        <f aca="false">IF(AND(L$3&gt;=c_first_dec,L$3&lt;=ROUND(p_stop_det,0)),(s_Rd3k+s_Rd4k)/12*M7*M11*p_cover_m+(s_Rc1k*p_pwin_cen+s_Rc2k*p_pwin_cen*p_minsa_occ)/12*M9*M12*p_cen_stock_m,0)</f>
        <v>1539.57274664428</v>
      </c>
      <c r="M19" s="15" t="n">
        <f aca="false">IF(AND(M$3&gt;=c_first_dec,M$3&lt;=ROUND(p_stop_det,0)),(s_Rd3k+s_Rd4k)/12*N7*N11*p_cover_m+(s_Rc1k*p_pwin_cen+s_Rc2k*p_pwin_cen*p_minsa_occ)/12*N9*N12*p_cen_stock_m,0)</f>
        <v>2309.35911996642</v>
      </c>
      <c r="N19" s="15" t="n">
        <f aca="false">IF(AND(N$3&gt;=c_first_dec,N$3&lt;=ROUND(p_stop_det,0)),(s_Rd3k+s_Rd4k)/12*O7*O11*p_cover_m+(s_Rc1k*p_pwin_cen+s_Rc2k*p_pwin_cen*p_minsa_occ)/12*O9*O12*p_cen_stock_m,0)</f>
        <v>3079.14549328856</v>
      </c>
      <c r="O19" s="15" t="n">
        <f aca="false">IF(AND(O$3&gt;=c_first_dec,O$3&lt;=ROUND(p_stop_det,0)),(s_Rd3k+s_Rd4k)/12*P7*P11*p_cover_m+(s_Rc1k*p_pwin_cen+s_Rc2k*p_pwin_cen*p_minsa_occ)/12*P9*P12*p_cen_stock_m,0)</f>
        <v>3848.9318666107</v>
      </c>
      <c r="P19" s="15" t="n">
        <f aca="false">IF(AND(P$3&gt;=c_first_dec,P$3&lt;=ROUND(p_stop_det,0)),(s_Rd3k+s_Rd4k)/12*Q7*Q11*p_cover_m+(s_Rc1k*p_pwin_cen+s_Rc2k*p_pwin_cen*p_minsa_occ)/12*Q9*Q12*p_cen_stock_m,0)</f>
        <v>4618.71823993284</v>
      </c>
      <c r="Q19" s="15" t="n">
        <f aca="false">IF(AND(Q$3&gt;=c_first_dec,Q$3&lt;=ROUND(p_stop_det,0)),(s_Rd3k+s_Rd4k)/12*R7*R11*p_cover_m+(s_Rc1k*p_pwin_cen+s_Rc2k*p_pwin_cen*p_minsa_occ)/12*R9*R12*p_cen_stock_m,0)</f>
        <v>12778.9354098915</v>
      </c>
      <c r="R19" s="15" t="n">
        <f aca="false">IF(AND(R$3&gt;=c_first_dec,R$3&lt;=ROUND(p_stop_det,0)),(s_Rd3k+s_Rd4k)/12*S7*S11*p_cover_m+(s_Rc1k*p_pwin_cen+s_Rc2k*p_pwin_cen*p_minsa_occ)/12*S9*S12*p_cen_stock_m,0)</f>
        <v>13548.7217832137</v>
      </c>
      <c r="S19" s="15" t="n">
        <f aca="false">IF(AND(S$3&gt;=c_first_dec,S$3&lt;=ROUND(p_stop_det,0)),(s_Rd3k+s_Rd4k)/12*T7*T11*p_cover_m+(s_Rc1k*p_pwin_cen+s_Rc2k*p_pwin_cen*p_minsa_occ)/12*T9*T12*p_cen_stock_m,0)</f>
        <v>14318.5081565358</v>
      </c>
      <c r="T19" s="15" t="n">
        <f aca="false">IF(AND(T$3&gt;=c_first_dec,T$3&lt;=ROUND(p_stop_det,0)),(s_Rd3k+s_Rd4k)/12*U7*U11*p_cover_m+(s_Rc1k*p_pwin_cen+s_Rc2k*p_pwin_cen*p_minsa_occ)/12*U9*U12*p_cen_stock_m,0)</f>
        <v>15088.294529858</v>
      </c>
      <c r="U19" s="15" t="n">
        <f aca="false">IF(AND(U$3&gt;=c_first_dec,U$3&lt;=ROUND(p_stop_det,0)),(s_Rd3k+s_Rd4k)/12*V7*V11*p_cover_m+(s_Rc1k*p_pwin_cen+s_Rc2k*p_pwin_cen*p_minsa_occ)/12*V9*V12*p_cen_stock_m,0)</f>
        <v>15858.0809031801</v>
      </c>
      <c r="V19" s="15" t="n">
        <f aca="false">IF(AND(V$3&gt;=c_first_dec,V$3&lt;=ROUND(p_stop_det,0)),(s_Rd3k+s_Rd4k)/12*W7*W11*p_cover_m+(s_Rc1k*p_pwin_cen+s_Rc2k*p_pwin_cen*p_minsa_occ)/12*W9*W12*p_cen_stock_m,0)</f>
        <v>16627.8672765023</v>
      </c>
      <c r="W19" s="15" t="n">
        <f aca="false">IF(AND(W$3&gt;=c_first_dec,W$3&lt;=ROUND(p_stop_det,0)),(s_Rd3k+s_Rd4k)/12*X7*X11*p_cover_m+(s_Rc1k*p_pwin_cen+s_Rc2k*p_pwin_cen*p_minsa_occ)/12*X9*X12*p_cen_stock_m,0)</f>
        <v>16627.8672765023</v>
      </c>
      <c r="X19" s="15" t="n">
        <f aca="false">IF(AND(X$3&gt;=c_first_dec,X$3&lt;=ROUND(p_stop_det,0)),(s_Rd3k+s_Rd4k)/12*Y7*Y11*p_cover_m+(s_Rc1k*p_pwin_cen+s_Rc2k*p_pwin_cen*p_minsa_occ)/12*Y9*Y12*p_cen_stock_m,0)</f>
        <v>16627.8672765023</v>
      </c>
      <c r="Y19" s="15" t="n">
        <f aca="false">IF(AND(Y$3&gt;=c_first_dec,Y$3&lt;=ROUND(p_stop_det,0)),(s_Rd3k+s_Rd4k)/12*Z7*Z11*p_cover_m+(s_Rc1k*p_pwin_cen+s_Rc2k*p_pwin_cen*p_minsa_occ)/12*Z9*Z12*p_cen_stock_m,0)</f>
        <v>16627.8672765023</v>
      </c>
      <c r="Z19" s="15" t="n">
        <f aca="false">IF(AND(Z$3&gt;=c_first_dec,Z$3&lt;=ROUND(p_stop_det,0)),(s_Rd3k+s_Rd4k)/12*AA7*AA11*p_cover_m+(s_Rc1k*p_pwin_cen+s_Rc2k*p_pwin_cen*p_minsa_occ)/12*AA9*AA12*p_cen_stock_m,0)</f>
        <v>19743.5865595774</v>
      </c>
      <c r="AA19" s="15" t="n">
        <f aca="false">IF(AND(AA$3&gt;=c_first_dec,AA$3&lt;=ROUND(p_stop_det,0)),(s_Rd3k+s_Rd4k)/12*AB7*AB11*p_cover_m+(s_Rc1k*p_pwin_cen+s_Rc2k*p_pwin_cen*p_minsa_occ)/12*AB9*AB12*p_cen_stock_m,0)</f>
        <v>20037.5049930277</v>
      </c>
      <c r="AB19" s="15" t="n">
        <f aca="false">IF(AND(AB$3&gt;=c_first_dec,AB$3&lt;=ROUND(p_stop_det,0)),(s_Rd3k+s_Rd4k)/12*AC7*AC11*p_cover_m+(s_Rc1k*p_pwin_cen+s_Rc2k*p_pwin_cen*p_minsa_occ)/12*AC9*AC12*p_cen_stock_m,0)</f>
        <v>20331.4234264779</v>
      </c>
      <c r="AC19" s="15" t="n">
        <f aca="false">IF(AND(AC$3&gt;=c_first_dec,AC$3&lt;=ROUND(p_stop_det,0)),(s_Rd3k+s_Rd4k)/12*AD7*AD11*p_cover_m+(s_Rc1k*p_pwin_cen+s_Rc2k*p_pwin_cen*p_minsa_occ)/12*AD9*AD12*p_cen_stock_m,0)</f>
        <v>20625.3418599282</v>
      </c>
      <c r="AD19" s="15" t="n">
        <f aca="false">IF(AND(AD$3&gt;=c_first_dec,AD$3&lt;=ROUND(p_stop_det,0)),(s_Rd3k+s_Rd4k)/12*AE7*AE11*p_cover_m+(s_Rc1k*p_pwin_cen+s_Rc2k*p_pwin_cen*p_minsa_occ)/12*AE9*AE12*p_cen_stock_m,0)</f>
        <v>20919.2602933785</v>
      </c>
      <c r="AE19" s="15" t="n">
        <f aca="false">IF(AND(AE$3&gt;=c_first_dec,AE$3&lt;=ROUND(p_stop_det,0)),(s_Rd3k+s_Rd4k)/12*AF7*AF11*p_cover_m+(s_Rc1k*p_pwin_cen+s_Rc2k*p_pwin_cen*p_minsa_occ)/12*AF9*AF12*p_cen_stock_m,0)</f>
        <v>21213.1787268288</v>
      </c>
      <c r="AF19" s="15" t="n">
        <f aca="false">IF(AND(AF$3&gt;=c_first_dec,AF$3&lt;=ROUND(p_stop_det,0)),(s_Rd3k+s_Rd4k)/12*AG7*AG11*p_cover_m+(s_Rc1k*p_pwin_cen+s_Rc2k*p_pwin_cen*p_minsa_occ)/12*AG9*AG12*p_cen_stock_m,0)</f>
        <v>21507.097160279</v>
      </c>
      <c r="AG19" s="15" t="n">
        <f aca="false">IF(AND(AG$3&gt;=c_first_dec,AG$3&lt;=ROUND(p_stop_det,0)),(s_Rd3k+s_Rd4k)/12*AH7*AH11*p_cover_m+(s_Rc1k*p_pwin_cen+s_Rc2k*p_pwin_cen*p_minsa_occ)/12*AH9*AH12*p_cen_stock_m,0)</f>
        <v>21801.0155937293</v>
      </c>
      <c r="AH19" s="15" t="n">
        <f aca="false">IF(AND(AH$3&gt;=c_first_dec,AH$3&lt;=ROUND(p_stop_det,0)),(s_Rd3k+s_Rd4k)/12*AI7*AI11*p_cover_m+(s_Rc1k*p_pwin_cen+s_Rc2k*p_pwin_cen*p_minsa_occ)/12*AI9*AI12*p_cen_stock_m,0)</f>
        <v>22094.9340271796</v>
      </c>
      <c r="AI19" s="15" t="n">
        <f aca="false">IF(AND(AI$3&gt;=c_first_dec,AI$3&lt;=ROUND(p_stop_det,0)),(s_Rd3k+s_Rd4k)/12*AJ7*AJ11*p_cover_m+(s_Rc1k*p_pwin_cen+s_Rc2k*p_pwin_cen*p_minsa_occ)/12*AJ9*AJ12*p_cen_stock_m,0)</f>
        <v>22388.8524606298</v>
      </c>
      <c r="AJ19" s="15" t="n">
        <f aca="false">IF(AND(AJ$3&gt;=c_first_dec,AJ$3&lt;=ROUND(p_stop_det,0)),(s_Rd3k+s_Rd4k)/12*AK7*AK11*p_cover_m+(s_Rc1k*p_pwin_cen+s_Rc2k*p_pwin_cen*p_minsa_occ)/12*AK9*AK12*p_cen_stock_m,0)</f>
        <v>22682.7708940801</v>
      </c>
      <c r="AK19" s="15" t="n">
        <f aca="false">IF(AND(AK$3&gt;=c_first_dec,AK$3&lt;=ROUND(p_stop_det,0)),(s_Rd3k+s_Rd4k)/12*AL7*AL11*p_cover_m+(s_Rc1k*p_pwin_cen+s_Rc2k*p_pwin_cen*p_minsa_occ)/12*AL9*AL12*p_cen_stock_m,0)</f>
        <v>22976.6893275304</v>
      </c>
      <c r="AL19" s="15" t="n">
        <f aca="false">IF(AND(AL$3&gt;=c_first_dec,AL$3&lt;=ROUND(p_stop_det,0)),(s_Rd3k+s_Rd4k)/12*AM7*AM11*p_cover_m+(s_Rc1k*p_pwin_cen+s_Rc2k*p_pwin_cen*p_minsa_occ)/12*AM9*AM12*p_cen_stock_m,0)</f>
        <v>22976.6893275304</v>
      </c>
      <c r="AM19" s="15" t="n">
        <f aca="false">IF(AND(AM$3&gt;=c_first_dec,AM$3&lt;=ROUND(p_stop_det,0)),(s_Rd3k+s_Rd4k)/12*AN7*AN11*p_cover_m+(s_Rc1k*p_pwin_cen+s_Rc2k*p_pwin_cen*p_minsa_occ)/12*AN9*AN12*p_cen_stock_m,0)</f>
        <v>22976.6893275304</v>
      </c>
      <c r="AN19" s="15" t="n">
        <f aca="false">IF(AND(AN$3&gt;=c_first_dec,AN$3&lt;=ROUND(p_stop_det,0)),(s_Rd3k+s_Rd4k)/12*AO7*AO11*p_cover_m+(s_Rc1k*p_pwin_cen+s_Rc2k*p_pwin_cen*p_minsa_occ)/12*AO9*AO12*p_cen_stock_m,0)</f>
        <v>22976.6893275304</v>
      </c>
      <c r="AO19" s="15" t="n">
        <f aca="false">IF(AND(AO$3&gt;=c_first_dec,AO$3&lt;=ROUND(p_stop_det,0)),(s_Rd3k+s_Rd4k)/12*AP7*AP11*p_cover_m+(s_Rc1k*p_pwin_cen+s_Rc2k*p_pwin_cen*p_minsa_occ)/12*AP9*AP12*p_cen_stock_m,0)</f>
        <v>22976.6893275304</v>
      </c>
      <c r="AP19" s="15" t="n">
        <f aca="false">IF(AND(AP$3&gt;=c_first_dec,AP$3&lt;=ROUND(p_stop_det,0)),(s_Rd3k+s_Rd4k)/12*AQ7*AQ11*p_cover_m+(s_Rc1k*p_pwin_cen+s_Rc2k*p_pwin_cen*p_minsa_occ)/12*AQ9*AQ12*p_cen_stock_m,0)</f>
        <v>22976.6893275304</v>
      </c>
      <c r="AQ19" s="15" t="n">
        <f aca="false">IF(AND(AQ$3&gt;=c_first_dec,AQ$3&lt;=ROUND(p_stop_det,0)),(s_Rd3k+s_Rd4k)/12*AR7*AR11*p_cover_m+(s_Rc1k*p_pwin_cen+s_Rc2k*p_pwin_cen*p_minsa_occ)/12*AR9*AR12*p_cen_stock_m,0)</f>
        <v>22976.6893275304</v>
      </c>
      <c r="AR19" s="15" t="n">
        <f aca="false">IF(AND(AR$3&gt;=c_first_dec,AR$3&lt;=ROUND(p_stop_det,0)),(s_Rd3k+s_Rd4k)/12*AS7*AS11*p_cover_m+(s_Rc1k*p_pwin_cen+s_Rc2k*p_pwin_cen*p_minsa_occ)/12*AS9*AS12*p_cen_stock_m,0)</f>
        <v>22976.6893275304</v>
      </c>
      <c r="AS19" s="15" t="n">
        <f aca="false">IF(AND(AS$3&gt;=c_first_dec,AS$3&lt;=ROUND(p_stop_det,0)),(s_Rd3k+s_Rd4k)/12*AT7*AT11*p_cover_m+(s_Rc1k*p_pwin_cen+s_Rc2k*p_pwin_cen*p_minsa_occ)/12*AT9*AT12*p_cen_stock_m,0)</f>
        <v>22976.6893275304</v>
      </c>
      <c r="AT19" s="15" t="n">
        <f aca="false">IF(AND(AT$3&gt;=c_first_dec,AT$3&lt;=ROUND(p_stop_det,0)),(s_Rd3k+s_Rd4k)/12*AU7*AU11*p_cover_m+(s_Rc1k*p_pwin_cen+s_Rc2k*p_pwin_cen*p_minsa_occ)/12*AU9*AU12*p_cen_stock_m,0)</f>
        <v>22976.6893275304</v>
      </c>
      <c r="AU19" s="15" t="n">
        <f aca="false">IF(AND(AU$3&gt;=c_first_dec,AU$3&lt;=ROUND(p_stop_det,0)),(s_Rd3k+s_Rd4k)/12*AV7*AV11*p_cover_m+(s_Rc1k*p_pwin_cen+s_Rc2k*p_pwin_cen*p_minsa_occ)/12*AV9*AV12*p_cen_stock_m,0)</f>
        <v>22976.6893275304</v>
      </c>
      <c r="AV19" s="15" t="n">
        <f aca="false">IF(AND(AV$3&gt;=c_first_dec,AV$3&lt;=ROUND(p_stop_det,0)),(s_Rd3k+s_Rd4k)/12*AW7*AW11*p_cover_m+(s_Rc1k*p_pwin_cen+s_Rc2k*p_pwin_cen*p_minsa_occ)/12*AW9*AW12*p_cen_stock_m,0)</f>
        <v>22976.6893275304</v>
      </c>
      <c r="AW19" s="15" t="n">
        <f aca="false">IF(AND(AW$3&gt;=c_first_dec,AW$3&lt;=ROUND(p_stop_det,0)),(s_Rd3k+s_Rd4k)/12*AX7*AX11*p_cover_m+(s_Rc1k*p_pwin_cen+s_Rc2k*p_pwin_cen*p_minsa_occ)/12*AX9*AX12*p_cen_stock_m,0)</f>
        <v>22976.6893275304</v>
      </c>
      <c r="AX19" s="15" t="n">
        <f aca="false">IF(AND(AX$3&gt;=c_first_dec,AX$3&lt;=ROUND(p_stop_det,0)),(s_Rd3k+s_Rd4k)/12*AY7*AY11*p_cover_m+(s_Rc1k*p_pwin_cen+s_Rc2k*p_pwin_cen*p_minsa_occ)/12*AY9*AY12*p_cen_stock_m,0)</f>
        <v>22976.6893275304</v>
      </c>
      <c r="AY19" s="15" t="n">
        <f aca="false">IF(AND(AY$3&gt;=c_first_dec,AY$3&lt;=ROUND(p_stop_det,0)),(s_Rd3k+s_Rd4k)/12*AZ7*AZ11*p_cover_m+(s_Rc1k*p_pwin_cen+s_Rc2k*p_pwin_cen*p_minsa_occ)/12*AZ9*AZ12*p_cen_stock_m,0)</f>
        <v>22976.6893275304</v>
      </c>
      <c r="AZ19" s="15" t="n">
        <f aca="false">IF(AND(AZ$3&gt;=c_first_dec,AZ$3&lt;=ROUND(p_stop_det,0)),(s_Rd3k+s_Rd4k)/12*BA7*BA11*p_cover_m+(s_Rc1k*p_pwin_cen+s_Rc2k*p_pwin_cen*p_minsa_occ)/12*BA9*BA12*p_cen_stock_m,0)</f>
        <v>22976.6893275304</v>
      </c>
      <c r="BA19" s="15" t="n">
        <f aca="false">IF(AND(BA$3&gt;=c_first_dec,BA$3&lt;=ROUND(p_stop_det,0)),(s_Rd3k+s_Rd4k)/12*BB7*BB11*p_cover_m+(s_Rc1k*p_pwin_cen+s_Rc2k*p_pwin_cen*p_minsa_occ)/12*BB9*BB12*p_cen_stock_m,0)</f>
        <v>22976.6893275304</v>
      </c>
      <c r="BB19" s="15" t="n">
        <f aca="false">IF(AND(BB$3&gt;=c_first_dec,BB$3&lt;=ROUND(p_stop_det,0)),(s_Rd3k+s_Rd4k)/12*BC7*BC11*p_cover_m+(s_Rc1k*p_pwin_cen+s_Rc2k*p_pwin_cen*p_minsa_occ)/12*BC9*BC12*p_cen_stock_m,0)</f>
        <v>22976.6893275304</v>
      </c>
      <c r="BC19" s="15" t="n">
        <f aca="false">IF(AND(BC$3&gt;=c_first_dec,BC$3&lt;=ROUND(p_stop_det,0)),(s_Rd3k+s_Rd4k)/12*BD7*BD11*p_cover_m+(s_Rc1k*p_pwin_cen+s_Rc2k*p_pwin_cen*p_minsa_occ)/12*BD9*BD12*p_cen_stock_m,0)</f>
        <v>22976.6893275304</v>
      </c>
      <c r="BD19" s="15" t="n">
        <f aca="false">IF(AND(BD$3&gt;=c_first_dec,BD$3&lt;=ROUND(p_stop_det,0)),(s_Rd3k+s_Rd4k)/12*BE7*BE11*p_cover_m+(s_Rc1k*p_pwin_cen+s_Rc2k*p_pwin_cen*p_minsa_occ)/12*BE9*BE12*p_cen_stock_m,0)</f>
        <v>22976.6893275304</v>
      </c>
      <c r="BE19" s="15" t="n">
        <f aca="false">IF(AND(BE$3&gt;=c_first_dec,BE$3&lt;=ROUND(p_stop_det,0)),(s_Rd3k+s_Rd4k)/12*BF7*BF11*p_cover_m+(s_Rc1k*p_pwin_cen+s_Rc2k*p_pwin_cen*p_minsa_occ)/12*BF9*BF12*p_cen_stock_m,0)</f>
        <v>22976.6893275304</v>
      </c>
      <c r="BF19" s="15" t="n">
        <f aca="false">IF(AND(BF$3&gt;=c_first_dec,BF$3&lt;=ROUND(p_stop_det,0)),(s_Rd3k+s_Rd4k)/12*BG7*BG11*p_cover_m+(s_Rc1k*p_pwin_cen+s_Rc2k*p_pwin_cen*p_minsa_occ)/12*BG9*BG12*p_cen_stock_m,0)</f>
        <v>22976.6893275304</v>
      </c>
      <c r="BG19" s="15" t="n">
        <f aca="false">IF(AND(BG$3&gt;=c_first_dec,BG$3&lt;=ROUND(p_stop_det,0)),(s_Rd3k+s_Rd4k)/12*BH7*BH11*p_cover_m+(s_Rc1k*p_pwin_cen+s_Rc2k*p_pwin_cen*p_minsa_occ)/12*BH9*BH12*p_cen_stock_m,0)</f>
        <v>22976.6893275304</v>
      </c>
      <c r="BH19" s="15" t="n">
        <f aca="false">IF(AND(BH$3&gt;=c_first_dec,BH$3&lt;=ROUND(p_stop_det,0)),(s_Rd3k+s_Rd4k)/12*BI7*BI11*p_cover_m+(s_Rc1k*p_pwin_cen+s_Rc2k*p_pwin_cen*p_minsa_occ)/12*BI9*BI12*p_cen_stock_m,0)</f>
        <v>22976.6893275304</v>
      </c>
      <c r="BI19" s="15" t="n">
        <f aca="false">IF(AND(BI$3&gt;=c_first_dec,BI$3&lt;=ROUND(p_stop_det,0)),(s_Rd3k+s_Rd4k)/12*BJ7*BJ11*p_cover_m+(s_Rc1k*p_pwin_cen+s_Rc2k*p_pwin_cen*p_minsa_occ)/12*BJ9*BJ12*p_cen_stock_m,0)</f>
        <v>22976.6893275304</v>
      </c>
      <c r="BJ19" s="15" t="n">
        <f aca="false">IF(AND(BJ$3&gt;=c_first_dec,BJ$3&lt;=ROUND(p_stop_det,0)),(s_Rd3k+s_Rd4k)/12*BK7*BK11*p_cover_m+(s_Rc1k*p_pwin_cen+s_Rc2k*p_pwin_cen*p_minsa_occ)/12*BK9*BK12*p_cen_stock_m,0)</f>
        <v>22976.6893275304</v>
      </c>
      <c r="BK19" s="15" t="n">
        <f aca="false">IF(AND(BK$3&gt;=c_first_dec,BK$3&lt;=ROUND(p_stop_det,0)),(s_Rd3k+s_Rd4k)/12*BL7*BL11*p_cover_m+(s_Rc1k*p_pwin_cen+s_Rc2k*p_pwin_cen*p_minsa_occ)/12*BL9*BL12*p_cen_stock_m,0)</f>
        <v>22976.6893275304</v>
      </c>
    </row>
    <row r="20" customFormat="false" ht="15" hidden="false" customHeight="true" outlineLevel="0" collapsed="false">
      <c r="A20" s="10" t="s">
        <v>440</v>
      </c>
      <c r="D20" s="15" t="n">
        <f aca="false">IF(D$3&gt;ROUND(p_stop_det,0),0,D18*(1+p_expiry)+D19-C19)</f>
        <v>0</v>
      </c>
      <c r="E20" s="15" t="n">
        <f aca="false">IF(E$3&gt;ROUND(p_stop_det,0),0,E18*(1+p_expiry)+E19-D19)</f>
        <v>0</v>
      </c>
      <c r="F20" s="15" t="n">
        <f aca="false">IF(F$3&gt;ROUND(p_stop_det,0),0,F18*(1+p_expiry)+F19-E19)</f>
        <v>0</v>
      </c>
      <c r="G20" s="15" t="n">
        <f aca="false">IF(G$3&gt;ROUND(p_stop_det,0),0,G18*(1+p_expiry)+G19-F19)</f>
        <v>0</v>
      </c>
      <c r="H20" s="15" t="n">
        <f aca="false">IF(H$3&gt;ROUND(p_stop_det,0),0,H18*(1+p_expiry)+H19-G19)</f>
        <v>0</v>
      </c>
      <c r="I20" s="15" t="n">
        <f aca="false">IF(I$3&gt;ROUND(p_stop_det,0),0,I18*(1+p_expiry)+I19-H19)</f>
        <v>0</v>
      </c>
      <c r="J20" s="15" t="n">
        <f aca="false">IF(J$3&gt;ROUND(p_stop_det,0),0,J18*(1+p_expiry)+J19-I19)</f>
        <v>0</v>
      </c>
      <c r="K20" s="15" t="n">
        <f aca="false">IF(K$3&gt;ROUND(p_stop_det,0),0,K18*(1+p_expiry)+K19-J19)</f>
        <v>0</v>
      </c>
      <c r="L20" s="15" t="n">
        <f aca="false">IF(L$3&gt;ROUND(p_stop_det,0),0,L18*(1+p_expiry)+L19-K19)</f>
        <v>1803.86606815155</v>
      </c>
      <c r="M20" s="15" t="n">
        <f aca="false">IF(M$3&gt;ROUND(p_stop_det,0),0,M18*(1+p_expiry)+M19-L19)</f>
        <v>1298.37301633668</v>
      </c>
      <c r="N20" s="15" t="n">
        <f aca="false">IF(N$3&gt;ROUND(p_stop_det,0),0,N18*(1+p_expiry)+N19-M19)</f>
        <v>1562.66633784395</v>
      </c>
      <c r="O20" s="15" t="n">
        <f aca="false">IF(O$3&gt;ROUND(p_stop_det,0),0,O18*(1+p_expiry)+O19-N19)</f>
        <v>1826.95965935121</v>
      </c>
      <c r="P20" s="15" t="n">
        <f aca="false">IF(P$3&gt;ROUND(p_stop_det,0),0,P18*(1+p_expiry)+P19-O19)</f>
        <v>2091.25298085848</v>
      </c>
      <c r="Q20" s="15" t="n">
        <f aca="false">IF(Q$3&gt;ROUND(p_stop_det,0),0,Q18*(1+p_expiry)+Q19-P19)</f>
        <v>9745.97709900231</v>
      </c>
      <c r="R20" s="15" t="n">
        <f aca="false">IF(R$3&gt;ROUND(p_stop_det,0),0,R18*(1+p_expiry)+R19-Q19)</f>
        <v>6425.91148414085</v>
      </c>
      <c r="S20" s="15" t="n">
        <f aca="false">IF(S$3&gt;ROUND(p_stop_det,0),0,S18*(1+p_expiry)+S19-R19)</f>
        <v>6690.20480564812</v>
      </c>
      <c r="T20" s="15" t="n">
        <f aca="false">IF(T$3&gt;ROUND(p_stop_det,0),0,T18*(1+p_expiry)+T19-S19)</f>
        <v>6954.49812715538</v>
      </c>
      <c r="U20" s="15" t="n">
        <f aca="false">IF(U$3&gt;ROUND(p_stop_det,0),0,U18*(1+p_expiry)+U19-T19)</f>
        <v>7218.79144866265</v>
      </c>
      <c r="V20" s="15" t="n">
        <f aca="false">IF(V$3&gt;ROUND(p_stop_det,0),0,V18*(1+p_expiry)+V19-U19)</f>
        <v>7483.08477016992</v>
      </c>
      <c r="W20" s="15" t="n">
        <f aca="false">IF(W$3&gt;ROUND(p_stop_det,0),0,W18*(1+p_expiry)+W19-V19)</f>
        <v>6977.59171835505</v>
      </c>
      <c r="X20" s="15" t="n">
        <f aca="false">IF(X$3&gt;ROUND(p_stop_det,0),0,X18*(1+p_expiry)+X19-W19)</f>
        <v>6977.59171835505</v>
      </c>
      <c r="Y20" s="15" t="n">
        <f aca="false">IF(Y$3&gt;ROUND(p_stop_det,0),0,Y18*(1+p_expiry)+Y19-X19)</f>
        <v>6977.59171835505</v>
      </c>
      <c r="Z20" s="15" t="n">
        <f aca="false">IF(Z$3&gt;ROUND(p_stop_det,0),0,Z18*(1+p_expiry)+Z19-Y19)</f>
        <v>10093.3110014302</v>
      </c>
      <c r="AA20" s="15" t="n">
        <f aca="false">IF(AA$3&gt;ROUND(p_stop_det,0),0,AA18*(1+p_expiry)+AA19-Z19)</f>
        <v>8825.64958484673</v>
      </c>
      <c r="AB20" s="15" t="n">
        <f aca="false">IF(AB$3&gt;ROUND(p_stop_det,0),0,AB18*(1+p_expiry)+AB19-AA19)</f>
        <v>8926.56158033132</v>
      </c>
      <c r="AC20" s="15" t="n">
        <f aca="false">IF(AC$3&gt;ROUND(p_stop_det,0),0,AC18*(1+p_expiry)+AC19-AB19)</f>
        <v>9027.47357581591</v>
      </c>
      <c r="AD20" s="15" t="n">
        <f aca="false">IF(AD$3&gt;ROUND(p_stop_det,0),0,AD18*(1+p_expiry)+AD19-AC19)</f>
        <v>9128.3855713005</v>
      </c>
      <c r="AE20" s="15" t="n">
        <f aca="false">IF(AE$3&gt;ROUND(p_stop_det,0),0,AE18*(1+p_expiry)+AE19-AD19)</f>
        <v>9229.2975667851</v>
      </c>
      <c r="AF20" s="15" t="n">
        <f aca="false">IF(AF$3&gt;ROUND(p_stop_det,0),0,AF18*(1+p_expiry)+AF19-AE19)</f>
        <v>9330.20956226969</v>
      </c>
      <c r="AG20" s="15" t="n">
        <f aca="false">IF(AG$3&gt;ROUND(p_stop_det,0),0,AG18*(1+p_expiry)+AG19-AF19)</f>
        <v>9431.12155775428</v>
      </c>
      <c r="AH20" s="15" t="n">
        <f aca="false">IF(AH$3&gt;ROUND(p_stop_det,0),0,AH18*(1+p_expiry)+AH19-AG19)</f>
        <v>9532.03355323888</v>
      </c>
      <c r="AI20" s="15" t="n">
        <f aca="false">IF(AI$3&gt;ROUND(p_stop_det,0),0,AI18*(1+p_expiry)+AI19-AH19)</f>
        <v>9632.94554872347</v>
      </c>
      <c r="AJ20" s="15" t="n">
        <f aca="false">IF(AJ$3&gt;ROUND(p_stop_det,0),0,AJ18*(1+p_expiry)+AJ19-AI19)</f>
        <v>9733.85754420806</v>
      </c>
      <c r="AK20" s="15" t="n">
        <f aca="false">IF(AK$3&gt;ROUND(p_stop_det,0),0,AK18*(1+p_expiry)+AK19-AJ19)</f>
        <v>9834.76953969266</v>
      </c>
      <c r="AL20" s="15" t="n">
        <f aca="false">IF(AL$3&gt;ROUND(p_stop_det,0),0,AL18*(1+p_expiry)+AL19-AK19)</f>
        <v>9641.76310172698</v>
      </c>
      <c r="AM20" s="15" t="n">
        <f aca="false">IF(AM$3&gt;ROUND(p_stop_det,0),0,AM18*(1+p_expiry)+AM19-AL19)</f>
        <v>9641.76310172698</v>
      </c>
      <c r="AN20" s="15" t="n">
        <f aca="false">IF(AN$3&gt;ROUND(p_stop_det,0),0,AN18*(1+p_expiry)+AN19-AM19)</f>
        <v>9641.76310172698</v>
      </c>
      <c r="AO20" s="15" t="n">
        <f aca="false">IF(AO$3&gt;ROUND(p_stop_det,0),0,AO18*(1+p_expiry)+AO19-AN19)</f>
        <v>9641.76310172698</v>
      </c>
      <c r="AP20" s="15" t="n">
        <f aca="false">IF(AP$3&gt;ROUND(p_stop_det,0),0,AP18*(1+p_expiry)+AP19-AO19)</f>
        <v>9641.76310172698</v>
      </c>
      <c r="AQ20" s="15" t="n">
        <f aca="false">IF(AQ$3&gt;ROUND(p_stop_det,0),0,AQ18*(1+p_expiry)+AQ19-AP19)</f>
        <v>9641.76310172698</v>
      </c>
      <c r="AR20" s="15" t="n">
        <f aca="false">IF(AR$3&gt;ROUND(p_stop_det,0),0,AR18*(1+p_expiry)+AR19-AQ19)</f>
        <v>9641.76310172698</v>
      </c>
      <c r="AS20" s="15" t="n">
        <f aca="false">IF(AS$3&gt;ROUND(p_stop_det,0),0,AS18*(1+p_expiry)+AS19-AR19)</f>
        <v>9641.76310172698</v>
      </c>
      <c r="AT20" s="15" t="n">
        <f aca="false">IF(AT$3&gt;ROUND(p_stop_det,0),0,AT18*(1+p_expiry)+AT19-AS19)</f>
        <v>9641.76310172698</v>
      </c>
      <c r="AU20" s="15" t="n">
        <f aca="false">IF(AU$3&gt;ROUND(p_stop_det,0),0,AU18*(1+p_expiry)+AU19-AT19)</f>
        <v>9641.76310172698</v>
      </c>
      <c r="AV20" s="15" t="n">
        <f aca="false">IF(AV$3&gt;ROUND(p_stop_det,0),0,AV18*(1+p_expiry)+AV19-AU19)</f>
        <v>9641.76310172698</v>
      </c>
      <c r="AW20" s="15" t="n">
        <f aca="false">IF(AW$3&gt;ROUND(p_stop_det,0),0,AW18*(1+p_expiry)+AW19-AV19)</f>
        <v>9641.76310172698</v>
      </c>
      <c r="AX20" s="15" t="n">
        <f aca="false">IF(AX$3&gt;ROUND(p_stop_det,0),0,AX18*(1+p_expiry)+AX19-AW19)</f>
        <v>9641.76310172698</v>
      </c>
      <c r="AY20" s="15" t="n">
        <f aca="false">IF(AY$3&gt;ROUND(p_stop_det,0),0,AY18*(1+p_expiry)+AY19-AX19)</f>
        <v>9641.76310172698</v>
      </c>
      <c r="AZ20" s="15" t="n">
        <f aca="false">IF(AZ$3&gt;ROUND(p_stop_det,0),0,AZ18*(1+p_expiry)+AZ19-AY19)</f>
        <v>9641.76310172698</v>
      </c>
      <c r="BA20" s="15" t="n">
        <f aca="false">IF(BA$3&gt;ROUND(p_stop_det,0),0,BA18*(1+p_expiry)+BA19-AZ19)</f>
        <v>9641.76310172698</v>
      </c>
      <c r="BB20" s="15" t="n">
        <f aca="false">IF(BB$3&gt;ROUND(p_stop_det,0),0,BB18*(1+p_expiry)+BB19-BA19)</f>
        <v>9641.76310172698</v>
      </c>
      <c r="BC20" s="15" t="n">
        <f aca="false">IF(BC$3&gt;ROUND(p_stop_det,0),0,BC18*(1+p_expiry)+BC19-BB19)</f>
        <v>9641.76310172698</v>
      </c>
      <c r="BD20" s="15" t="n">
        <f aca="false">IF(BD$3&gt;ROUND(p_stop_det,0),0,BD18*(1+p_expiry)+BD19-BC19)</f>
        <v>9641.76310172698</v>
      </c>
      <c r="BE20" s="15" t="n">
        <f aca="false">IF(BE$3&gt;ROUND(p_stop_det,0),0,BE18*(1+p_expiry)+BE19-BD19)</f>
        <v>9641.76310172698</v>
      </c>
      <c r="BF20" s="15" t="n">
        <f aca="false">IF(BF$3&gt;ROUND(p_stop_det,0),0,BF18*(1+p_expiry)+BF19-BE19)</f>
        <v>9641.76310172698</v>
      </c>
      <c r="BG20" s="15" t="n">
        <f aca="false">IF(BG$3&gt;ROUND(p_stop_det,0),0,BG18*(1+p_expiry)+BG19-BF19)</f>
        <v>9641.76310172698</v>
      </c>
      <c r="BH20" s="15" t="n">
        <f aca="false">IF(BH$3&gt;ROUND(p_stop_det,0),0,BH18*(1+p_expiry)+BH19-BG19)</f>
        <v>9641.76310172698</v>
      </c>
      <c r="BI20" s="15" t="n">
        <f aca="false">IF(BI$3&gt;ROUND(p_stop_det,0),0,BI18*(1+p_expiry)+BI19-BH19)</f>
        <v>9641.76310172698</v>
      </c>
      <c r="BJ20" s="15" t="n">
        <f aca="false">IF(BJ$3&gt;ROUND(p_stop_det,0),0,BJ18*(1+p_expiry)+BJ19-BI19)</f>
        <v>9641.76310172698</v>
      </c>
      <c r="BK20" s="15" t="n">
        <f aca="false">IF(BK$3&gt;ROUND(p_stop_det,0),0,BK18*(1+p_expiry)+BK19-BJ19)</f>
        <v>9641.76310172698</v>
      </c>
    </row>
    <row r="21" customFormat="false" ht="15" hidden="false" customHeight="true" outlineLevel="0" collapsed="false">
      <c r="A21" s="10" t="s">
        <v>441</v>
      </c>
      <c r="D21" s="15" t="n">
        <f aca="false">p_adv*IFERROR(INDEX($D$20:$BK$20,1,D$3+c_lead_m),0)</f>
        <v>0</v>
      </c>
      <c r="E21" s="15" t="n">
        <f aca="false">p_adv*IFERROR(INDEX($D$20:$BK$20,1,E$3+c_lead_m),0)</f>
        <v>0</v>
      </c>
      <c r="F21" s="15" t="n">
        <f aca="false">p_adv*IFERROR(INDEX($D$20:$BK$20,1,F$3+c_lead_m),0)</f>
        <v>0</v>
      </c>
      <c r="G21" s="15" t="n">
        <f aca="false">p_adv*IFERROR(INDEX($D$20:$BK$20,1,G$3+c_lead_m),0)</f>
        <v>0</v>
      </c>
      <c r="H21" s="15" t="n">
        <f aca="false">p_adv*IFERROR(INDEX($D$20:$BK$20,1,H$3+c_lead_m),0)</f>
        <v>0</v>
      </c>
      <c r="I21" s="15" t="n">
        <f aca="false">p_adv*IFERROR(INDEX($D$20:$BK$20,1,I$3+c_lead_m),0)</f>
        <v>541.159820445465</v>
      </c>
      <c r="J21" s="15" t="n">
        <f aca="false">p_adv*IFERROR(INDEX($D$20:$BK$20,1,J$3+c_lead_m),0)</f>
        <v>389.511904901003</v>
      </c>
      <c r="K21" s="15" t="n">
        <f aca="false">p_adv*IFERROR(INDEX($D$20:$BK$20,1,K$3+c_lead_m),0)</f>
        <v>468.799901353184</v>
      </c>
      <c r="L21" s="15" t="n">
        <f aca="false">p_adv*IFERROR(INDEX($D$20:$BK$20,1,L$3+c_lead_m),0)</f>
        <v>548.087897805364</v>
      </c>
      <c r="M21" s="15" t="n">
        <f aca="false">p_adv*IFERROR(INDEX($D$20:$BK$20,1,M$3+c_lead_m),0)</f>
        <v>627.375894257544</v>
      </c>
      <c r="N21" s="15" t="n">
        <f aca="false">p_adv*IFERROR(INDEX($D$20:$BK$20,1,N$3+c_lead_m),0)</f>
        <v>2923.79312970069</v>
      </c>
      <c r="O21" s="15" t="n">
        <f aca="false">p_adv*IFERROR(INDEX($D$20:$BK$20,1,O$3+c_lead_m),0)</f>
        <v>1927.77344524225</v>
      </c>
      <c r="P21" s="15" t="n">
        <f aca="false">p_adv*IFERROR(INDEX($D$20:$BK$20,1,P$3+c_lead_m),0)</f>
        <v>2007.06144169443</v>
      </c>
      <c r="Q21" s="15" t="n">
        <f aca="false">p_adv*IFERROR(INDEX($D$20:$BK$20,1,Q$3+c_lead_m),0)</f>
        <v>2086.34943814662</v>
      </c>
      <c r="R21" s="15" t="n">
        <f aca="false">p_adv*IFERROR(INDEX($D$20:$BK$20,1,R$3+c_lead_m),0)</f>
        <v>2165.6374345988</v>
      </c>
      <c r="S21" s="15" t="n">
        <f aca="false">p_adv*IFERROR(INDEX($D$20:$BK$20,1,S$3+c_lead_m),0)</f>
        <v>2244.92543105098</v>
      </c>
      <c r="T21" s="15" t="n">
        <f aca="false">p_adv*IFERROR(INDEX($D$20:$BK$20,1,T$3+c_lead_m),0)</f>
        <v>2093.27751550651</v>
      </c>
      <c r="U21" s="15" t="n">
        <f aca="false">p_adv*IFERROR(INDEX($D$20:$BK$20,1,U$3+c_lead_m),0)</f>
        <v>2093.27751550651</v>
      </c>
      <c r="V21" s="15" t="n">
        <f aca="false">p_adv*IFERROR(INDEX($D$20:$BK$20,1,V$3+c_lead_m),0)</f>
        <v>2093.27751550651</v>
      </c>
      <c r="W21" s="15" t="n">
        <f aca="false">p_adv*IFERROR(INDEX($D$20:$BK$20,1,W$3+c_lead_m),0)</f>
        <v>3027.99330042906</v>
      </c>
      <c r="X21" s="15" t="n">
        <f aca="false">p_adv*IFERROR(INDEX($D$20:$BK$20,1,X$3+c_lead_m),0)</f>
        <v>2647.69487545402</v>
      </c>
      <c r="Y21" s="15" t="n">
        <f aca="false">p_adv*IFERROR(INDEX($D$20:$BK$20,1,Y$3+c_lead_m),0)</f>
        <v>2677.9684740994</v>
      </c>
      <c r="Z21" s="15" t="n">
        <f aca="false">p_adv*IFERROR(INDEX($D$20:$BK$20,1,Z$3+c_lead_m),0)</f>
        <v>2708.24207274477</v>
      </c>
      <c r="AA21" s="15" t="n">
        <f aca="false">p_adv*IFERROR(INDEX($D$20:$BK$20,1,AA$3+c_lead_m),0)</f>
        <v>2738.51567139015</v>
      </c>
      <c r="AB21" s="15" t="n">
        <f aca="false">p_adv*IFERROR(INDEX($D$20:$BK$20,1,AB$3+c_lead_m),0)</f>
        <v>2768.78927003553</v>
      </c>
      <c r="AC21" s="15" t="n">
        <f aca="false">p_adv*IFERROR(INDEX($D$20:$BK$20,1,AC$3+c_lead_m),0)</f>
        <v>2799.06286868091</v>
      </c>
      <c r="AD21" s="15" t="n">
        <f aca="false">p_adv*IFERROR(INDEX($D$20:$BK$20,1,AD$3+c_lead_m),0)</f>
        <v>2829.33646732628</v>
      </c>
      <c r="AE21" s="15" t="n">
        <f aca="false">p_adv*IFERROR(INDEX($D$20:$BK$20,1,AE$3+c_lead_m),0)</f>
        <v>2859.61006597166</v>
      </c>
      <c r="AF21" s="15" t="n">
        <f aca="false">p_adv*IFERROR(INDEX($D$20:$BK$20,1,AF$3+c_lead_m),0)</f>
        <v>2889.88366461704</v>
      </c>
      <c r="AG21" s="15" t="n">
        <f aca="false">p_adv*IFERROR(INDEX($D$20:$BK$20,1,AG$3+c_lead_m),0)</f>
        <v>2920.15726326242</v>
      </c>
      <c r="AH21" s="15" t="n">
        <f aca="false">p_adv*IFERROR(INDEX($D$20:$BK$20,1,AH$3+c_lead_m),0)</f>
        <v>2950.4308619078</v>
      </c>
      <c r="AI21" s="15" t="n">
        <f aca="false">p_adv*IFERROR(INDEX($D$20:$BK$20,1,AI$3+c_lead_m),0)</f>
        <v>2892.52893051809</v>
      </c>
      <c r="AJ21" s="15" t="n">
        <f aca="false">p_adv*IFERROR(INDEX($D$20:$BK$20,1,AJ$3+c_lead_m),0)</f>
        <v>2892.52893051809</v>
      </c>
      <c r="AK21" s="15" t="n">
        <f aca="false">p_adv*IFERROR(INDEX($D$20:$BK$20,1,AK$3+c_lead_m),0)</f>
        <v>2892.52893051809</v>
      </c>
      <c r="AL21" s="15" t="n">
        <f aca="false">p_adv*IFERROR(INDEX($D$20:$BK$20,1,AL$3+c_lead_m),0)</f>
        <v>2892.52893051809</v>
      </c>
      <c r="AM21" s="15" t="n">
        <f aca="false">p_adv*IFERROR(INDEX($D$20:$BK$20,1,AM$3+c_lead_m),0)</f>
        <v>2892.52893051809</v>
      </c>
      <c r="AN21" s="15" t="n">
        <f aca="false">p_adv*IFERROR(INDEX($D$20:$BK$20,1,AN$3+c_lead_m),0)</f>
        <v>2892.52893051809</v>
      </c>
      <c r="AO21" s="15" t="n">
        <f aca="false">p_adv*IFERROR(INDEX($D$20:$BK$20,1,AO$3+c_lead_m),0)</f>
        <v>2892.52893051809</v>
      </c>
      <c r="AP21" s="15" t="n">
        <f aca="false">p_adv*IFERROR(INDEX($D$20:$BK$20,1,AP$3+c_lead_m),0)</f>
        <v>2892.52893051809</v>
      </c>
      <c r="AQ21" s="15" t="n">
        <f aca="false">p_adv*IFERROR(INDEX($D$20:$BK$20,1,AQ$3+c_lead_m),0)</f>
        <v>2892.52893051809</v>
      </c>
      <c r="AR21" s="15" t="n">
        <f aca="false">p_adv*IFERROR(INDEX($D$20:$BK$20,1,AR$3+c_lead_m),0)</f>
        <v>2892.52893051809</v>
      </c>
      <c r="AS21" s="15" t="n">
        <f aca="false">p_adv*IFERROR(INDEX($D$20:$BK$20,1,AS$3+c_lead_m),0)</f>
        <v>2892.52893051809</v>
      </c>
      <c r="AT21" s="15" t="n">
        <f aca="false">p_adv*IFERROR(INDEX($D$20:$BK$20,1,AT$3+c_lead_m),0)</f>
        <v>2892.52893051809</v>
      </c>
      <c r="AU21" s="15" t="n">
        <f aca="false">p_adv*IFERROR(INDEX($D$20:$BK$20,1,AU$3+c_lead_m),0)</f>
        <v>2892.52893051809</v>
      </c>
      <c r="AV21" s="15" t="n">
        <f aca="false">p_adv*IFERROR(INDEX($D$20:$BK$20,1,AV$3+c_lead_m),0)</f>
        <v>2892.52893051809</v>
      </c>
      <c r="AW21" s="15" t="n">
        <f aca="false">p_adv*IFERROR(INDEX($D$20:$BK$20,1,AW$3+c_lead_m),0)</f>
        <v>2892.52893051809</v>
      </c>
      <c r="AX21" s="15" t="n">
        <f aca="false">p_adv*IFERROR(INDEX($D$20:$BK$20,1,AX$3+c_lead_m),0)</f>
        <v>2892.52893051809</v>
      </c>
      <c r="AY21" s="15" t="n">
        <f aca="false">p_adv*IFERROR(INDEX($D$20:$BK$20,1,AY$3+c_lead_m),0)</f>
        <v>2892.52893051809</v>
      </c>
      <c r="AZ21" s="15" t="n">
        <f aca="false">p_adv*IFERROR(INDEX($D$20:$BK$20,1,AZ$3+c_lead_m),0)</f>
        <v>2892.52893051809</v>
      </c>
      <c r="BA21" s="15" t="n">
        <f aca="false">p_adv*IFERROR(INDEX($D$20:$BK$20,1,BA$3+c_lead_m),0)</f>
        <v>2892.52893051809</v>
      </c>
      <c r="BB21" s="15" t="n">
        <f aca="false">p_adv*IFERROR(INDEX($D$20:$BK$20,1,BB$3+c_lead_m),0)</f>
        <v>2892.52893051809</v>
      </c>
      <c r="BC21" s="15" t="n">
        <f aca="false">p_adv*IFERROR(INDEX($D$20:$BK$20,1,BC$3+c_lead_m),0)</f>
        <v>2892.52893051809</v>
      </c>
      <c r="BD21" s="15" t="n">
        <f aca="false">p_adv*IFERROR(INDEX($D$20:$BK$20,1,BD$3+c_lead_m),0)</f>
        <v>2892.52893051809</v>
      </c>
      <c r="BE21" s="15" t="n">
        <f aca="false">p_adv*IFERROR(INDEX($D$20:$BK$20,1,BE$3+c_lead_m),0)</f>
        <v>2892.52893051809</v>
      </c>
      <c r="BF21" s="15" t="n">
        <f aca="false">p_adv*IFERROR(INDEX($D$20:$BK$20,1,BF$3+c_lead_m),0)</f>
        <v>2892.52893051809</v>
      </c>
      <c r="BG21" s="15" t="n">
        <f aca="false">p_adv*IFERROR(INDEX($D$20:$BK$20,1,BG$3+c_lead_m),0)</f>
        <v>2892.52893051809</v>
      </c>
      <c r="BH21" s="15" t="n">
        <f aca="false">p_adv*IFERROR(INDEX($D$20:$BK$20,1,BH$3+c_lead_m),0)</f>
        <v>2892.52893051809</v>
      </c>
      <c r="BI21" s="15" t="n">
        <f aca="false">p_adv*IFERROR(INDEX($D$20:$BK$20,1,BI$3+c_lead_m),0)</f>
        <v>0</v>
      </c>
      <c r="BJ21" s="15" t="n">
        <f aca="false">p_adv*IFERROR(INDEX($D$20:$BK$20,1,BJ$3+c_lead_m),0)</f>
        <v>0</v>
      </c>
      <c r="BK21" s="15" t="n">
        <f aca="false">p_adv*IFERROR(INDEX($D$20:$BK$20,1,BK$3+c_lead_m),0)</f>
        <v>0</v>
      </c>
    </row>
    <row r="22" customFormat="false" ht="15" hidden="false" customHeight="true" outlineLevel="0" collapsed="false">
      <c r="A22" s="10" t="s">
        <v>442</v>
      </c>
      <c r="D22" s="15" t="n">
        <f aca="false">IF(AND(D$3+c_ship_m-c_credit_m&gt;=1,D$3+c_ship_m-c_credit_m&lt;=60),(1-p_adv)*INDEX($D$20:$BK$20,1,D$3+c_ship_m-c_credit_m),0)</f>
        <v>0</v>
      </c>
      <c r="E22" s="15" t="n">
        <f aca="false">IF(AND(E$3+c_ship_m-c_credit_m&gt;=1,E$3+c_ship_m-c_credit_m&lt;=60),(1-p_adv)*INDEX($D$20:$BK$20,1,E$3+c_ship_m-c_credit_m),0)</f>
        <v>0</v>
      </c>
      <c r="F22" s="15" t="n">
        <f aca="false">IF(AND(F$3+c_ship_m-c_credit_m&gt;=1,F$3+c_ship_m-c_credit_m&lt;=60),(1-p_adv)*INDEX($D$20:$BK$20,1,F$3+c_ship_m-c_credit_m),0)</f>
        <v>0</v>
      </c>
      <c r="G22" s="15" t="n">
        <f aca="false">IF(AND(G$3+c_ship_m-c_credit_m&gt;=1,G$3+c_ship_m-c_credit_m&lt;=60),(1-p_adv)*INDEX($D$20:$BK$20,1,G$3+c_ship_m-c_credit_m),0)</f>
        <v>0</v>
      </c>
      <c r="H22" s="15" t="n">
        <f aca="false">IF(AND(H$3+c_ship_m-c_credit_m&gt;=1,H$3+c_ship_m-c_credit_m&lt;=60),(1-p_adv)*INDEX($D$20:$BK$20,1,H$3+c_ship_m-c_credit_m),0)</f>
        <v>0</v>
      </c>
      <c r="I22" s="15" t="n">
        <f aca="false">IF(AND(I$3+c_ship_m-c_credit_m&gt;=1,I$3+c_ship_m-c_credit_m&lt;=60),(1-p_adv)*INDEX($D$20:$BK$20,1,I$3+c_ship_m-c_credit_m),0)</f>
        <v>0</v>
      </c>
      <c r="J22" s="15" t="n">
        <f aca="false">IF(AND(J$3+c_ship_m-c_credit_m&gt;=1,J$3+c_ship_m-c_credit_m&lt;=60),(1-p_adv)*INDEX($D$20:$BK$20,1,J$3+c_ship_m-c_credit_m),0)</f>
        <v>1262.70624770608</v>
      </c>
      <c r="K22" s="15" t="n">
        <f aca="false">IF(AND(K$3+c_ship_m-c_credit_m&gt;=1,K$3+c_ship_m-c_credit_m&lt;=60),(1-p_adv)*INDEX($D$20:$BK$20,1,K$3+c_ship_m-c_credit_m),0)</f>
        <v>908.861111435674</v>
      </c>
      <c r="L22" s="15" t="n">
        <f aca="false">IF(AND(L$3+c_ship_m-c_credit_m&gt;=1,L$3+c_ship_m-c_credit_m&lt;=60),(1-p_adv)*INDEX($D$20:$BK$20,1,L$3+c_ship_m-c_credit_m),0)</f>
        <v>1093.86643649076</v>
      </c>
      <c r="M22" s="15" t="n">
        <f aca="false">IF(AND(M$3+c_ship_m-c_credit_m&gt;=1,M$3+c_ship_m-c_credit_m&lt;=60),(1-p_adv)*INDEX($D$20:$BK$20,1,M$3+c_ship_m-c_credit_m),0)</f>
        <v>1278.87176154585</v>
      </c>
      <c r="N22" s="15" t="n">
        <f aca="false">IF(AND(N$3+c_ship_m-c_credit_m&gt;=1,N$3+c_ship_m-c_credit_m&lt;=60),(1-p_adv)*INDEX($D$20:$BK$20,1,N$3+c_ship_m-c_credit_m),0)</f>
        <v>1463.87708660094</v>
      </c>
      <c r="O22" s="15" t="n">
        <f aca="false">IF(AND(O$3+c_ship_m-c_credit_m&gt;=1,O$3+c_ship_m-c_credit_m&lt;=60),(1-p_adv)*INDEX($D$20:$BK$20,1,O$3+c_ship_m-c_credit_m),0)</f>
        <v>6822.18396930162</v>
      </c>
      <c r="P22" s="15" t="n">
        <f aca="false">IF(AND(P$3+c_ship_m-c_credit_m&gt;=1,P$3+c_ship_m-c_credit_m&lt;=60),(1-p_adv)*INDEX($D$20:$BK$20,1,P$3+c_ship_m-c_credit_m),0)</f>
        <v>4498.13803889859</v>
      </c>
      <c r="Q22" s="15" t="n">
        <f aca="false">IF(AND(Q$3+c_ship_m-c_credit_m&gt;=1,Q$3+c_ship_m-c_credit_m&lt;=60),(1-p_adv)*INDEX($D$20:$BK$20,1,Q$3+c_ship_m-c_credit_m),0)</f>
        <v>4683.14336395368</v>
      </c>
      <c r="R22" s="15" t="n">
        <f aca="false">IF(AND(R$3+c_ship_m-c_credit_m&gt;=1,R$3+c_ship_m-c_credit_m&lt;=60),(1-p_adv)*INDEX($D$20:$BK$20,1,R$3+c_ship_m-c_credit_m),0)</f>
        <v>4868.14868900877</v>
      </c>
      <c r="S22" s="15" t="n">
        <f aca="false">IF(AND(S$3+c_ship_m-c_credit_m&gt;=1,S$3+c_ship_m-c_credit_m&lt;=60),(1-p_adv)*INDEX($D$20:$BK$20,1,S$3+c_ship_m-c_credit_m),0)</f>
        <v>5053.15401406386</v>
      </c>
      <c r="T22" s="15" t="n">
        <f aca="false">IF(AND(T$3+c_ship_m-c_credit_m&gt;=1,T$3+c_ship_m-c_credit_m&lt;=60),(1-p_adv)*INDEX($D$20:$BK$20,1,T$3+c_ship_m-c_credit_m),0)</f>
        <v>5238.15933911895</v>
      </c>
      <c r="U22" s="15" t="n">
        <f aca="false">IF(AND(U$3+c_ship_m-c_credit_m&gt;=1,U$3+c_ship_m-c_credit_m&lt;=60),(1-p_adv)*INDEX($D$20:$BK$20,1,U$3+c_ship_m-c_credit_m),0)</f>
        <v>4884.31420284853</v>
      </c>
      <c r="V22" s="15" t="n">
        <f aca="false">IF(AND(V$3+c_ship_m-c_credit_m&gt;=1,V$3+c_ship_m-c_credit_m&lt;=60),(1-p_adv)*INDEX($D$20:$BK$20,1,V$3+c_ship_m-c_credit_m),0)</f>
        <v>4884.31420284853</v>
      </c>
      <c r="W22" s="15" t="n">
        <f aca="false">IF(AND(W$3+c_ship_m-c_credit_m&gt;=1,W$3+c_ship_m-c_credit_m&lt;=60),(1-p_adv)*INDEX($D$20:$BK$20,1,W$3+c_ship_m-c_credit_m),0)</f>
        <v>4884.31420284853</v>
      </c>
      <c r="X22" s="15" t="n">
        <f aca="false">IF(AND(X$3+c_ship_m-c_credit_m&gt;=1,X$3+c_ship_m-c_credit_m&lt;=60),(1-p_adv)*INDEX($D$20:$BK$20,1,X$3+c_ship_m-c_credit_m),0)</f>
        <v>7065.31770100114</v>
      </c>
      <c r="Y22" s="15" t="n">
        <f aca="false">IF(AND(Y$3+c_ship_m-c_credit_m&gt;=1,Y$3+c_ship_m-c_credit_m&lt;=60),(1-p_adv)*INDEX($D$20:$BK$20,1,Y$3+c_ship_m-c_credit_m),0)</f>
        <v>6177.95470939271</v>
      </c>
      <c r="Z22" s="15" t="n">
        <f aca="false">IF(AND(Z$3+c_ship_m-c_credit_m&gt;=1,Z$3+c_ship_m-c_credit_m&lt;=60),(1-p_adv)*INDEX($D$20:$BK$20,1,Z$3+c_ship_m-c_credit_m),0)</f>
        <v>6248.59310623192</v>
      </c>
      <c r="AA22" s="15" t="n">
        <f aca="false">IF(AND(AA$3+c_ship_m-c_credit_m&gt;=1,AA$3+c_ship_m-c_credit_m&lt;=60),(1-p_adv)*INDEX($D$20:$BK$20,1,AA$3+c_ship_m-c_credit_m),0)</f>
        <v>6319.23150307114</v>
      </c>
      <c r="AB22" s="15" t="n">
        <f aca="false">IF(AND(AB$3+c_ship_m-c_credit_m&gt;=1,AB$3+c_ship_m-c_credit_m&lt;=60),(1-p_adv)*INDEX($D$20:$BK$20,1,AB$3+c_ship_m-c_credit_m),0)</f>
        <v>6389.86989991035</v>
      </c>
      <c r="AC22" s="15" t="n">
        <f aca="false">IF(AND(AC$3+c_ship_m-c_credit_m&gt;=1,AC$3+c_ship_m-c_credit_m&lt;=60),(1-p_adv)*INDEX($D$20:$BK$20,1,AC$3+c_ship_m-c_credit_m),0)</f>
        <v>6460.50829674957</v>
      </c>
      <c r="AD22" s="15" t="n">
        <f aca="false">IF(AND(AD$3+c_ship_m-c_credit_m&gt;=1,AD$3+c_ship_m-c_credit_m&lt;=60),(1-p_adv)*INDEX($D$20:$BK$20,1,AD$3+c_ship_m-c_credit_m),0)</f>
        <v>6531.14669358878</v>
      </c>
      <c r="AE22" s="15" t="n">
        <f aca="false">IF(AND(AE$3+c_ship_m-c_credit_m&gt;=1,AE$3+c_ship_m-c_credit_m&lt;=60),(1-p_adv)*INDEX($D$20:$BK$20,1,AE$3+c_ship_m-c_credit_m),0)</f>
        <v>6601.785090428</v>
      </c>
      <c r="AF22" s="15" t="n">
        <f aca="false">IF(AND(AF$3+c_ship_m-c_credit_m&gt;=1,AF$3+c_ship_m-c_credit_m&lt;=60),(1-p_adv)*INDEX($D$20:$BK$20,1,AF$3+c_ship_m-c_credit_m),0)</f>
        <v>6672.42348726721</v>
      </c>
      <c r="AG22" s="15" t="n">
        <f aca="false">IF(AND(AG$3+c_ship_m-c_credit_m&gt;=1,AG$3+c_ship_m-c_credit_m&lt;=60),(1-p_adv)*INDEX($D$20:$BK$20,1,AG$3+c_ship_m-c_credit_m),0)</f>
        <v>6743.06188410643</v>
      </c>
      <c r="AH22" s="15" t="n">
        <f aca="false">IF(AND(AH$3+c_ship_m-c_credit_m&gt;=1,AH$3+c_ship_m-c_credit_m&lt;=60),(1-p_adv)*INDEX($D$20:$BK$20,1,AH$3+c_ship_m-c_credit_m),0)</f>
        <v>6813.70028094564</v>
      </c>
      <c r="AI22" s="15" t="n">
        <f aca="false">IF(AND(AI$3+c_ship_m-c_credit_m&gt;=1,AI$3+c_ship_m-c_credit_m&lt;=60),(1-p_adv)*INDEX($D$20:$BK$20,1,AI$3+c_ship_m-c_credit_m),0)</f>
        <v>6884.33867778486</v>
      </c>
      <c r="AJ22" s="15" t="n">
        <f aca="false">IF(AND(AJ$3+c_ship_m-c_credit_m&gt;=1,AJ$3+c_ship_m-c_credit_m&lt;=60),(1-p_adv)*INDEX($D$20:$BK$20,1,AJ$3+c_ship_m-c_credit_m),0)</f>
        <v>6749.23417120888</v>
      </c>
      <c r="AK22" s="15" t="n">
        <f aca="false">IF(AND(AK$3+c_ship_m-c_credit_m&gt;=1,AK$3+c_ship_m-c_credit_m&lt;=60),(1-p_adv)*INDEX($D$20:$BK$20,1,AK$3+c_ship_m-c_credit_m),0)</f>
        <v>6749.23417120888</v>
      </c>
      <c r="AL22" s="15" t="n">
        <f aca="false">IF(AND(AL$3+c_ship_m-c_credit_m&gt;=1,AL$3+c_ship_m-c_credit_m&lt;=60),(1-p_adv)*INDEX($D$20:$BK$20,1,AL$3+c_ship_m-c_credit_m),0)</f>
        <v>6749.23417120888</v>
      </c>
      <c r="AM22" s="15" t="n">
        <f aca="false">IF(AND(AM$3+c_ship_m-c_credit_m&gt;=1,AM$3+c_ship_m-c_credit_m&lt;=60),(1-p_adv)*INDEX($D$20:$BK$20,1,AM$3+c_ship_m-c_credit_m),0)</f>
        <v>6749.23417120888</v>
      </c>
      <c r="AN22" s="15" t="n">
        <f aca="false">IF(AND(AN$3+c_ship_m-c_credit_m&gt;=1,AN$3+c_ship_m-c_credit_m&lt;=60),(1-p_adv)*INDEX($D$20:$BK$20,1,AN$3+c_ship_m-c_credit_m),0)</f>
        <v>6749.23417120888</v>
      </c>
      <c r="AO22" s="15" t="n">
        <f aca="false">IF(AND(AO$3+c_ship_m-c_credit_m&gt;=1,AO$3+c_ship_m-c_credit_m&lt;=60),(1-p_adv)*INDEX($D$20:$BK$20,1,AO$3+c_ship_m-c_credit_m),0)</f>
        <v>6749.23417120888</v>
      </c>
      <c r="AP22" s="15" t="n">
        <f aca="false">IF(AND(AP$3+c_ship_m-c_credit_m&gt;=1,AP$3+c_ship_m-c_credit_m&lt;=60),(1-p_adv)*INDEX($D$20:$BK$20,1,AP$3+c_ship_m-c_credit_m),0)</f>
        <v>6749.23417120888</v>
      </c>
      <c r="AQ22" s="15" t="n">
        <f aca="false">IF(AND(AQ$3+c_ship_m-c_credit_m&gt;=1,AQ$3+c_ship_m-c_credit_m&lt;=60),(1-p_adv)*INDEX($D$20:$BK$20,1,AQ$3+c_ship_m-c_credit_m),0)</f>
        <v>6749.23417120888</v>
      </c>
      <c r="AR22" s="15" t="n">
        <f aca="false">IF(AND(AR$3+c_ship_m-c_credit_m&gt;=1,AR$3+c_ship_m-c_credit_m&lt;=60),(1-p_adv)*INDEX($D$20:$BK$20,1,AR$3+c_ship_m-c_credit_m),0)</f>
        <v>6749.23417120888</v>
      </c>
      <c r="AS22" s="15" t="n">
        <f aca="false">IF(AND(AS$3+c_ship_m-c_credit_m&gt;=1,AS$3+c_ship_m-c_credit_m&lt;=60),(1-p_adv)*INDEX($D$20:$BK$20,1,AS$3+c_ship_m-c_credit_m),0)</f>
        <v>6749.23417120888</v>
      </c>
      <c r="AT22" s="15" t="n">
        <f aca="false">IF(AND(AT$3+c_ship_m-c_credit_m&gt;=1,AT$3+c_ship_m-c_credit_m&lt;=60),(1-p_adv)*INDEX($D$20:$BK$20,1,AT$3+c_ship_m-c_credit_m),0)</f>
        <v>6749.23417120888</v>
      </c>
      <c r="AU22" s="15" t="n">
        <f aca="false">IF(AND(AU$3+c_ship_m-c_credit_m&gt;=1,AU$3+c_ship_m-c_credit_m&lt;=60),(1-p_adv)*INDEX($D$20:$BK$20,1,AU$3+c_ship_m-c_credit_m),0)</f>
        <v>6749.23417120888</v>
      </c>
      <c r="AV22" s="15" t="n">
        <f aca="false">IF(AND(AV$3+c_ship_m-c_credit_m&gt;=1,AV$3+c_ship_m-c_credit_m&lt;=60),(1-p_adv)*INDEX($D$20:$BK$20,1,AV$3+c_ship_m-c_credit_m),0)</f>
        <v>6749.23417120888</v>
      </c>
      <c r="AW22" s="15" t="n">
        <f aca="false">IF(AND(AW$3+c_ship_m-c_credit_m&gt;=1,AW$3+c_ship_m-c_credit_m&lt;=60),(1-p_adv)*INDEX($D$20:$BK$20,1,AW$3+c_ship_m-c_credit_m),0)</f>
        <v>6749.23417120888</v>
      </c>
      <c r="AX22" s="15" t="n">
        <f aca="false">IF(AND(AX$3+c_ship_m-c_credit_m&gt;=1,AX$3+c_ship_m-c_credit_m&lt;=60),(1-p_adv)*INDEX($D$20:$BK$20,1,AX$3+c_ship_m-c_credit_m),0)</f>
        <v>6749.23417120888</v>
      </c>
      <c r="AY22" s="15" t="n">
        <f aca="false">IF(AND(AY$3+c_ship_m-c_credit_m&gt;=1,AY$3+c_ship_m-c_credit_m&lt;=60),(1-p_adv)*INDEX($D$20:$BK$20,1,AY$3+c_ship_m-c_credit_m),0)</f>
        <v>6749.23417120888</v>
      </c>
      <c r="AZ22" s="15" t="n">
        <f aca="false">IF(AND(AZ$3+c_ship_m-c_credit_m&gt;=1,AZ$3+c_ship_m-c_credit_m&lt;=60),(1-p_adv)*INDEX($D$20:$BK$20,1,AZ$3+c_ship_m-c_credit_m),0)</f>
        <v>6749.23417120888</v>
      </c>
      <c r="BA22" s="15" t="n">
        <f aca="false">IF(AND(BA$3+c_ship_m-c_credit_m&gt;=1,BA$3+c_ship_m-c_credit_m&lt;=60),(1-p_adv)*INDEX($D$20:$BK$20,1,BA$3+c_ship_m-c_credit_m),0)</f>
        <v>6749.23417120888</v>
      </c>
      <c r="BB22" s="15" t="n">
        <f aca="false">IF(AND(BB$3+c_ship_m-c_credit_m&gt;=1,BB$3+c_ship_m-c_credit_m&lt;=60),(1-p_adv)*INDEX($D$20:$BK$20,1,BB$3+c_ship_m-c_credit_m),0)</f>
        <v>6749.23417120888</v>
      </c>
      <c r="BC22" s="15" t="n">
        <f aca="false">IF(AND(BC$3+c_ship_m-c_credit_m&gt;=1,BC$3+c_ship_m-c_credit_m&lt;=60),(1-p_adv)*INDEX($D$20:$BK$20,1,BC$3+c_ship_m-c_credit_m),0)</f>
        <v>6749.23417120888</v>
      </c>
      <c r="BD22" s="15" t="n">
        <f aca="false">IF(AND(BD$3+c_ship_m-c_credit_m&gt;=1,BD$3+c_ship_m-c_credit_m&lt;=60),(1-p_adv)*INDEX($D$20:$BK$20,1,BD$3+c_ship_m-c_credit_m),0)</f>
        <v>6749.23417120888</v>
      </c>
      <c r="BE22" s="15" t="n">
        <f aca="false">IF(AND(BE$3+c_ship_m-c_credit_m&gt;=1,BE$3+c_ship_m-c_credit_m&lt;=60),(1-p_adv)*INDEX($D$20:$BK$20,1,BE$3+c_ship_m-c_credit_m),0)</f>
        <v>6749.23417120888</v>
      </c>
      <c r="BF22" s="15" t="n">
        <f aca="false">IF(AND(BF$3+c_ship_m-c_credit_m&gt;=1,BF$3+c_ship_m-c_credit_m&lt;=60),(1-p_adv)*INDEX($D$20:$BK$20,1,BF$3+c_ship_m-c_credit_m),0)</f>
        <v>6749.23417120888</v>
      </c>
      <c r="BG22" s="15" t="n">
        <f aca="false">IF(AND(BG$3+c_ship_m-c_credit_m&gt;=1,BG$3+c_ship_m-c_credit_m&lt;=60),(1-p_adv)*INDEX($D$20:$BK$20,1,BG$3+c_ship_m-c_credit_m),0)</f>
        <v>6749.23417120888</v>
      </c>
      <c r="BH22" s="15" t="n">
        <f aca="false">IF(AND(BH$3+c_ship_m-c_credit_m&gt;=1,BH$3+c_ship_m-c_credit_m&lt;=60),(1-p_adv)*INDEX($D$20:$BK$20,1,BH$3+c_ship_m-c_credit_m),0)</f>
        <v>6749.23417120888</v>
      </c>
      <c r="BI22" s="15" t="n">
        <f aca="false">IF(AND(BI$3+c_ship_m-c_credit_m&gt;=1,BI$3+c_ship_m-c_credit_m&lt;=60),(1-p_adv)*INDEX($D$20:$BK$20,1,BI$3+c_ship_m-c_credit_m),0)</f>
        <v>6749.23417120888</v>
      </c>
      <c r="BJ22" s="15" t="n">
        <f aca="false">IF(AND(BJ$3+c_ship_m-c_credit_m&gt;=1,BJ$3+c_ship_m-c_credit_m&lt;=60),(1-p_adv)*INDEX($D$20:$BK$20,1,BJ$3+c_ship_m-c_credit_m),0)</f>
        <v>0</v>
      </c>
      <c r="BK22" s="15" t="n">
        <f aca="false">IF(AND(BK$3+c_ship_m-c_credit_m&gt;=1,BK$3+c_ship_m-c_credit_m&lt;=60),(1-p_adv)*INDEX($D$20:$BK$20,1,BK$3+c_ship_m-c_credit_m),0)</f>
        <v>0</v>
      </c>
    </row>
    <row r="23" customFormat="false" ht="15" hidden="false" customHeight="true" outlineLevel="0" collapsed="false">
      <c r="A23" s="8" t="s">
        <v>443</v>
      </c>
      <c r="D23" s="25" t="n">
        <f aca="false">D21+D22</f>
        <v>0</v>
      </c>
      <c r="E23" s="25" t="n">
        <f aca="false">E21+E22</f>
        <v>0</v>
      </c>
      <c r="F23" s="25" t="n">
        <f aca="false">F21+F22</f>
        <v>0</v>
      </c>
      <c r="G23" s="25" t="n">
        <f aca="false">G21+G22</f>
        <v>0</v>
      </c>
      <c r="H23" s="25" t="n">
        <f aca="false">H21+H22</f>
        <v>0</v>
      </c>
      <c r="I23" s="25" t="n">
        <f aca="false">I21+I22</f>
        <v>541.159820445465</v>
      </c>
      <c r="J23" s="25" t="n">
        <f aca="false">J21+J22</f>
        <v>1652.21815260709</v>
      </c>
      <c r="K23" s="25" t="n">
        <f aca="false">K21+K22</f>
        <v>1377.66101278886</v>
      </c>
      <c r="L23" s="25" t="n">
        <f aca="false">L21+L22</f>
        <v>1641.95433429613</v>
      </c>
      <c r="M23" s="25" t="n">
        <f aca="false">M21+M22</f>
        <v>1906.24765580339</v>
      </c>
      <c r="N23" s="25" t="n">
        <f aca="false">N21+N22</f>
        <v>4387.67021630163</v>
      </c>
      <c r="O23" s="25" t="n">
        <f aca="false">O21+O22</f>
        <v>8749.95741454387</v>
      </c>
      <c r="P23" s="25" t="n">
        <f aca="false">P21+P22</f>
        <v>6505.19948059303</v>
      </c>
      <c r="Q23" s="25" t="n">
        <f aca="false">Q21+Q22</f>
        <v>6769.4928021003</v>
      </c>
      <c r="R23" s="25" t="n">
        <f aca="false">R21+R22</f>
        <v>7033.78612360756</v>
      </c>
      <c r="S23" s="25" t="n">
        <f aca="false">S21+S22</f>
        <v>7298.07944511483</v>
      </c>
      <c r="T23" s="25" t="n">
        <f aca="false">T21+T22</f>
        <v>7331.43685462546</v>
      </c>
      <c r="U23" s="25" t="n">
        <f aca="false">U21+U22</f>
        <v>6977.59171835505</v>
      </c>
      <c r="V23" s="25" t="n">
        <f aca="false">V21+V22</f>
        <v>6977.59171835505</v>
      </c>
      <c r="W23" s="25" t="n">
        <f aca="false">W21+W22</f>
        <v>7912.30750327759</v>
      </c>
      <c r="X23" s="25" t="n">
        <f aca="false">X21+X22</f>
        <v>9713.01257645515</v>
      </c>
      <c r="Y23" s="25" t="n">
        <f aca="false">Y21+Y22</f>
        <v>8855.9231834921</v>
      </c>
      <c r="Z23" s="25" t="n">
        <f aca="false">Z21+Z22</f>
        <v>8956.83517897669</v>
      </c>
      <c r="AA23" s="25" t="n">
        <f aca="false">AA21+AA22</f>
        <v>9057.74717446129</v>
      </c>
      <c r="AB23" s="25" t="n">
        <f aca="false">AB21+AB22</f>
        <v>9158.65916994588</v>
      </c>
      <c r="AC23" s="25" t="n">
        <f aca="false">AC21+AC22</f>
        <v>9259.57116543047</v>
      </c>
      <c r="AD23" s="25" t="n">
        <f aca="false">AD21+AD22</f>
        <v>9360.48316091506</v>
      </c>
      <c r="AE23" s="25" t="n">
        <f aca="false">AE21+AE22</f>
        <v>9461.39515639966</v>
      </c>
      <c r="AF23" s="25" t="n">
        <f aca="false">AF21+AF22</f>
        <v>9562.30715188425</v>
      </c>
      <c r="AG23" s="25" t="n">
        <f aca="false">AG21+AG22</f>
        <v>9663.21914736884</v>
      </c>
      <c r="AH23" s="25" t="n">
        <f aca="false">AH21+AH22</f>
        <v>9764.13114285344</v>
      </c>
      <c r="AI23" s="25" t="n">
        <f aca="false">AI21+AI22</f>
        <v>9776.86760830295</v>
      </c>
      <c r="AJ23" s="25" t="n">
        <f aca="false">AJ21+AJ22</f>
        <v>9641.76310172698</v>
      </c>
      <c r="AK23" s="25" t="n">
        <f aca="false">AK21+AK22</f>
        <v>9641.76310172698</v>
      </c>
      <c r="AL23" s="25" t="n">
        <f aca="false">AL21+AL22</f>
        <v>9641.76310172698</v>
      </c>
      <c r="AM23" s="25" t="n">
        <f aca="false">AM21+AM22</f>
        <v>9641.76310172698</v>
      </c>
      <c r="AN23" s="25" t="n">
        <f aca="false">AN21+AN22</f>
        <v>9641.76310172698</v>
      </c>
      <c r="AO23" s="25" t="n">
        <f aca="false">AO21+AO22</f>
        <v>9641.76310172698</v>
      </c>
      <c r="AP23" s="25" t="n">
        <f aca="false">AP21+AP22</f>
        <v>9641.76310172698</v>
      </c>
      <c r="AQ23" s="25" t="n">
        <f aca="false">AQ21+AQ22</f>
        <v>9641.76310172698</v>
      </c>
      <c r="AR23" s="25" t="n">
        <f aca="false">AR21+AR22</f>
        <v>9641.76310172698</v>
      </c>
      <c r="AS23" s="25" t="n">
        <f aca="false">AS21+AS22</f>
        <v>9641.76310172698</v>
      </c>
      <c r="AT23" s="25" t="n">
        <f aca="false">AT21+AT22</f>
        <v>9641.76310172698</v>
      </c>
      <c r="AU23" s="25" t="n">
        <f aca="false">AU21+AU22</f>
        <v>9641.76310172698</v>
      </c>
      <c r="AV23" s="25" t="n">
        <f aca="false">AV21+AV22</f>
        <v>9641.76310172698</v>
      </c>
      <c r="AW23" s="25" t="n">
        <f aca="false">AW21+AW22</f>
        <v>9641.76310172698</v>
      </c>
      <c r="AX23" s="25" t="n">
        <f aca="false">AX21+AX22</f>
        <v>9641.76310172698</v>
      </c>
      <c r="AY23" s="25" t="n">
        <f aca="false">AY21+AY22</f>
        <v>9641.76310172698</v>
      </c>
      <c r="AZ23" s="25" t="n">
        <f aca="false">AZ21+AZ22</f>
        <v>9641.76310172698</v>
      </c>
      <c r="BA23" s="25" t="n">
        <f aca="false">BA21+BA22</f>
        <v>9641.76310172698</v>
      </c>
      <c r="BB23" s="25" t="n">
        <f aca="false">BB21+BB22</f>
        <v>9641.76310172698</v>
      </c>
      <c r="BC23" s="25" t="n">
        <f aca="false">BC21+BC22</f>
        <v>9641.76310172698</v>
      </c>
      <c r="BD23" s="25" t="n">
        <f aca="false">BD21+BD22</f>
        <v>9641.76310172698</v>
      </c>
      <c r="BE23" s="25" t="n">
        <f aca="false">BE21+BE22</f>
        <v>9641.76310172698</v>
      </c>
      <c r="BF23" s="25" t="n">
        <f aca="false">BF21+BF22</f>
        <v>9641.76310172698</v>
      </c>
      <c r="BG23" s="25" t="n">
        <f aca="false">BG21+BG22</f>
        <v>9641.76310172698</v>
      </c>
      <c r="BH23" s="25" t="n">
        <f aca="false">BH21+BH22</f>
        <v>9641.76310172698</v>
      </c>
      <c r="BI23" s="25" t="n">
        <f aca="false">BI21+BI22</f>
        <v>6749.23417120888</v>
      </c>
      <c r="BJ23" s="25" t="n">
        <f aca="false">BJ21+BJ22</f>
        <v>0</v>
      </c>
      <c r="BK23" s="25" t="n">
        <f aca="false">BK21+BK22</f>
        <v>0</v>
      </c>
    </row>
    <row r="24" customFormat="false" ht="15" hidden="false" customHeight="true" outlineLevel="0" collapsed="false">
      <c r="A24" s="10" t="s">
        <v>444</v>
      </c>
      <c r="D24" s="25" t="n">
        <f aca="false">(1-p_fact_share)*IF(D$3-c_dso_m&gt;=1,INDEX($D$15:$BK$15,1,D$3-c_dso_m),0)*(1-p_baddebt)+p_fact_share*IF(D$3-1&gt;=1,INDEX($D$15:$BK$15,1,D$3-1),0)*(1-p_baddebt)*(1-p_fact_cost*c_dso_m)+IF(D$3=ROUND(p_stop_det,0)+1,INDEX($D$19:$BK$19,1,ROUND(p_stop_det,0))*p_inv_liq,0)</f>
        <v>0</v>
      </c>
      <c r="E24" s="25" t="n">
        <f aca="false">(1-p_fact_share)*IF(E$3-c_dso_m&gt;=1,INDEX($D$15:$BK$15,1,E$3-c_dso_m),0)*(1-p_baddebt)+p_fact_share*IF(E$3-1&gt;=1,INDEX($D$15:$BK$15,1,E$3-1),0)*(1-p_baddebt)*(1-p_fact_cost*c_dso_m)+IF(E$3=ROUND(p_stop_det,0)+1,INDEX($D$19:$BK$19,1,ROUND(p_stop_det,0))*p_inv_liq,0)</f>
        <v>0</v>
      </c>
      <c r="F24" s="25" t="n">
        <f aca="false">(1-p_fact_share)*IF(F$3-c_dso_m&gt;=1,INDEX($D$15:$BK$15,1,F$3-c_dso_m),0)*(1-p_baddebt)+p_fact_share*IF(F$3-1&gt;=1,INDEX($D$15:$BK$15,1,F$3-1),0)*(1-p_baddebt)*(1-p_fact_cost*c_dso_m)+IF(F$3=ROUND(p_stop_det,0)+1,INDEX($D$19:$BK$19,1,ROUND(p_stop_det,0))*p_inv_liq,0)</f>
        <v>0</v>
      </c>
      <c r="G24" s="25" t="n">
        <f aca="false">(1-p_fact_share)*IF(G$3-c_dso_m&gt;=1,INDEX($D$15:$BK$15,1,G$3-c_dso_m),0)*(1-p_baddebt)+p_fact_share*IF(G$3-1&gt;=1,INDEX($D$15:$BK$15,1,G$3-1),0)*(1-p_baddebt)*(1-p_fact_cost*c_dso_m)+IF(G$3=ROUND(p_stop_det,0)+1,INDEX($D$19:$BK$19,1,ROUND(p_stop_det,0))*p_inv_liq,0)</f>
        <v>0</v>
      </c>
      <c r="H24" s="25" t="n">
        <f aca="false">(1-p_fact_share)*IF(H$3-c_dso_m&gt;=1,INDEX($D$15:$BK$15,1,H$3-c_dso_m),0)*(1-p_baddebt)+p_fact_share*IF(H$3-1&gt;=1,INDEX($D$15:$BK$15,1,H$3-1),0)*(1-p_baddebt)*(1-p_fact_cost*c_dso_m)+IF(H$3=ROUND(p_stop_det,0)+1,INDEX($D$19:$BK$19,1,ROUND(p_stop_det,0))*p_inv_liq,0)</f>
        <v>0</v>
      </c>
      <c r="I24" s="25" t="n">
        <f aca="false">(1-p_fact_share)*IF(I$3-c_dso_m&gt;=1,INDEX($D$15:$BK$15,1,I$3-c_dso_m),0)*(1-p_baddebt)+p_fact_share*IF(I$3-1&gt;=1,INDEX($D$15:$BK$15,1,I$3-1),0)*(1-p_baddebt)*(1-p_fact_cost*c_dso_m)+IF(I$3=ROUND(p_stop_det,0)+1,INDEX($D$19:$BK$19,1,ROUND(p_stop_det,0))*p_inv_liq,0)</f>
        <v>0</v>
      </c>
      <c r="J24" s="25" t="n">
        <f aca="false">(1-p_fact_share)*IF(J$3-c_dso_m&gt;=1,INDEX($D$15:$BK$15,1,J$3-c_dso_m),0)*(1-p_baddebt)+p_fact_share*IF(J$3-1&gt;=1,INDEX($D$15:$BK$15,1,J$3-1),0)*(1-p_baddebt)*(1-p_fact_cost*c_dso_m)+IF(J$3=ROUND(p_stop_det,0)+1,INDEX($D$19:$BK$19,1,ROUND(p_stop_det,0))*p_inv_liq,0)</f>
        <v>0</v>
      </c>
      <c r="K24" s="25" t="n">
        <f aca="false">(1-p_fact_share)*IF(K$3-c_dso_m&gt;=1,INDEX($D$15:$BK$15,1,K$3-c_dso_m),0)*(1-p_baddebt)+p_fact_share*IF(K$3-1&gt;=1,INDEX($D$15:$BK$15,1,K$3-1),0)*(1-p_baddebt)*(1-p_fact_cost*c_dso_m)+IF(K$3=ROUND(p_stop_det,0)+1,INDEX($D$19:$BK$19,1,ROUND(p_stop_det,0))*p_inv_liq,0)</f>
        <v>0</v>
      </c>
      <c r="L24" s="25" t="n">
        <f aca="false">(1-p_fact_share)*IF(L$3-c_dso_m&gt;=1,INDEX($D$15:$BK$15,1,L$3-c_dso_m),0)*(1-p_baddebt)+p_fact_share*IF(L$3-1&gt;=1,INDEX($D$15:$BK$15,1,L$3-1),0)*(1-p_baddebt)*(1-p_fact_cost*c_dso_m)+IF(L$3=ROUND(p_stop_det,0)+1,INDEX($D$19:$BK$19,1,ROUND(p_stop_det,0))*p_inv_liq,0)</f>
        <v>0</v>
      </c>
      <c r="M24" s="25" t="n">
        <f aca="false">(1-p_fact_share)*IF(M$3-c_dso_m&gt;=1,INDEX($D$15:$BK$15,1,M$3-c_dso_m),0)*(1-p_baddebt)+p_fact_share*IF(M$3-1&gt;=1,INDEX($D$15:$BK$15,1,M$3-1),0)*(1-p_baddebt)*(1-p_fact_cost*c_dso_m)+IF(M$3=ROUND(p_stop_det,0)+1,INDEX($D$19:$BK$19,1,ROUND(p_stop_det,0))*p_inv_liq,0)</f>
        <v>0</v>
      </c>
      <c r="N24" s="25" t="n">
        <f aca="false">(1-p_fact_share)*IF(N$3-c_dso_m&gt;=1,INDEX($D$15:$BK$15,1,N$3-c_dso_m),0)*(1-p_baddebt)+p_fact_share*IF(N$3-1&gt;=1,INDEX($D$15:$BK$15,1,N$3-1),0)*(1-p_baddebt)*(1-p_fact_cost*c_dso_m)+IF(N$3=ROUND(p_stop_det,0)+1,INDEX($D$19:$BK$19,1,ROUND(p_stop_det,0))*p_inv_liq,0)</f>
        <v>0</v>
      </c>
      <c r="O24" s="25" t="n">
        <f aca="false">(1-p_fact_share)*IF(O$3-c_dso_m&gt;=1,INDEX($D$15:$BK$15,1,O$3-c_dso_m),0)*(1-p_baddebt)+p_fact_share*IF(O$3-1&gt;=1,INDEX($D$15:$BK$15,1,O$3-1),0)*(1-p_baddebt)*(1-p_fact_cost*c_dso_m)+IF(O$3=ROUND(p_stop_det,0)+1,INDEX($D$19:$BK$19,1,ROUND(p_stop_det,0))*p_inv_liq,0)</f>
        <v>0</v>
      </c>
      <c r="P24" s="25" t="n">
        <f aca="false">(1-p_fact_share)*IF(P$3-c_dso_m&gt;=1,INDEX($D$15:$BK$15,1,P$3-c_dso_m),0)*(1-p_baddebt)+p_fact_share*IF(P$3-1&gt;=1,INDEX($D$15:$BK$15,1,P$3-1),0)*(1-p_baddebt)*(1-p_fact_cost*c_dso_m)+IF(P$3=ROUND(p_stop_det,0)+1,INDEX($D$19:$BK$19,1,ROUND(p_stop_det,0))*p_inv_liq,0)</f>
        <v>0</v>
      </c>
      <c r="Q24" s="25" t="n">
        <f aca="false">(1-p_fact_share)*IF(Q$3-c_dso_m&gt;=1,INDEX($D$15:$BK$15,1,Q$3-c_dso_m),0)*(1-p_baddebt)+p_fact_share*IF(Q$3-1&gt;=1,INDEX($D$15:$BK$15,1,Q$3-1),0)*(1-p_baddebt)*(1-p_fact_cost*c_dso_m)+IF(Q$3=ROUND(p_stop_det,0)+1,INDEX($D$19:$BK$19,1,ROUND(p_stop_det,0))*p_inv_liq,0)</f>
        <v>627.091562776078</v>
      </c>
      <c r="R24" s="25" t="n">
        <f aca="false">(1-p_fact_share)*IF(R$3-c_dso_m&gt;=1,INDEX($D$15:$BK$15,1,R$3-c_dso_m),0)*(1-p_baddebt)+p_fact_share*IF(R$3-1&gt;=1,INDEX($D$15:$BK$15,1,R$3-1),0)*(1-p_baddebt)*(1-p_fact_cost*c_dso_m)+IF(R$3=ROUND(p_stop_det,0)+1,INDEX($D$19:$BK$19,1,ROUND(p_stop_det,0))*p_inv_liq,0)</f>
        <v>1254.18312555216</v>
      </c>
      <c r="S24" s="25" t="n">
        <f aca="false">(1-p_fact_share)*IF(S$3-c_dso_m&gt;=1,INDEX($D$15:$BK$15,1,S$3-c_dso_m),0)*(1-p_baddebt)+p_fact_share*IF(S$3-1&gt;=1,INDEX($D$15:$BK$15,1,S$3-1),0)*(1-p_baddebt)*(1-p_fact_cost*c_dso_m)+IF(S$3=ROUND(p_stop_det,0)+1,INDEX($D$19:$BK$19,1,ROUND(p_stop_det,0))*p_inv_liq,0)</f>
        <v>1881.27468832823</v>
      </c>
      <c r="T24" s="25" t="n">
        <f aca="false">(1-p_fact_share)*IF(T$3-c_dso_m&gt;=1,INDEX($D$15:$BK$15,1,T$3-c_dso_m),0)*(1-p_baddebt)+p_fact_share*IF(T$3-1&gt;=1,INDEX($D$15:$BK$15,1,T$3-1),0)*(1-p_baddebt)*(1-p_fact_cost*c_dso_m)+IF(T$3=ROUND(p_stop_det,0)+1,INDEX($D$19:$BK$19,1,ROUND(p_stop_det,0))*p_inv_liq,0)</f>
        <v>2508.36625110431</v>
      </c>
      <c r="U24" s="25" t="n">
        <f aca="false">(1-p_fact_share)*IF(U$3-c_dso_m&gt;=1,INDEX($D$15:$BK$15,1,U$3-c_dso_m),0)*(1-p_baddebt)+p_fact_share*IF(U$3-1&gt;=1,INDEX($D$15:$BK$15,1,U$3-1),0)*(1-p_baddebt)*(1-p_fact_cost*c_dso_m)+IF(U$3=ROUND(p_stop_det,0)+1,INDEX($D$19:$BK$19,1,ROUND(p_stop_det,0))*p_inv_liq,0)</f>
        <v>3041.39407946398</v>
      </c>
      <c r="V24" s="25" t="n">
        <f aca="false">(1-p_fact_share)*IF(V$3-c_dso_m&gt;=1,INDEX($D$15:$BK$15,1,V$3-c_dso_m),0)*(1-p_baddebt)+p_fact_share*IF(V$3-1&gt;=1,INDEX($D$15:$BK$15,1,V$3-1),0)*(1-p_baddebt)*(1-p_fact_cost*c_dso_m)+IF(V$3=ROUND(p_stop_det,0)+1,INDEX($D$19:$BK$19,1,ROUND(p_stop_det,0))*p_inv_liq,0)</f>
        <v>3649.67289535677</v>
      </c>
      <c r="W24" s="25" t="n">
        <f aca="false">(1-p_fact_share)*IF(W$3-c_dso_m&gt;=1,INDEX($D$15:$BK$15,1,W$3-c_dso_m),0)*(1-p_baddebt)+p_fact_share*IF(W$3-1&gt;=1,INDEX($D$15:$BK$15,1,W$3-1),0)*(1-p_baddebt)*(1-p_fact_cost*c_dso_m)+IF(W$3=ROUND(p_stop_det,0)+1,INDEX($D$19:$BK$19,1,ROUND(p_stop_det,0))*p_inv_liq,0)</f>
        <v>14126.6226964471</v>
      </c>
      <c r="X24" s="25" t="n">
        <f aca="false">(1-p_fact_share)*IF(X$3-c_dso_m&gt;=1,INDEX($D$15:$BK$15,1,X$3-c_dso_m),0)*(1-p_baddebt)+p_fact_share*IF(X$3-1&gt;=1,INDEX($D$15:$BK$15,1,X$3-1),0)*(1-p_baddebt)*(1-p_fact_cost*c_dso_m)+IF(X$3=ROUND(p_stop_det,0)+1,INDEX($D$19:$BK$19,1,ROUND(p_stop_det,0))*p_inv_liq,0)</f>
        <v>14734.9015123399</v>
      </c>
      <c r="Y24" s="25" t="n">
        <f aca="false">(1-p_fact_share)*IF(Y$3-c_dso_m&gt;=1,INDEX($D$15:$BK$15,1,Y$3-c_dso_m),0)*(1-p_baddebt)+p_fact_share*IF(Y$3-1&gt;=1,INDEX($D$15:$BK$15,1,Y$3-1),0)*(1-p_baddebt)*(1-p_fact_cost*c_dso_m)+IF(Y$3=ROUND(p_stop_det,0)+1,INDEX($D$19:$BK$19,1,ROUND(p_stop_det,0))*p_inv_liq,0)</f>
        <v>15343.1803282327</v>
      </c>
      <c r="Z24" s="25" t="n">
        <f aca="false">(1-p_fact_share)*IF(Z$3-c_dso_m&gt;=1,INDEX($D$15:$BK$15,1,Z$3-c_dso_m),0)*(1-p_baddebt)+p_fact_share*IF(Z$3-1&gt;=1,INDEX($D$15:$BK$15,1,Z$3-1),0)*(1-p_baddebt)*(1-p_fact_cost*c_dso_m)+IF(Z$3=ROUND(p_stop_det,0)+1,INDEX($D$19:$BK$19,1,ROUND(p_stop_det,0))*p_inv_liq,0)</f>
        <v>15951.4591441255</v>
      </c>
      <c r="AA24" s="25" t="n">
        <f aca="false">(1-p_fact_share)*IF(AA$3-c_dso_m&gt;=1,INDEX($D$15:$BK$15,1,AA$3-c_dso_m),0)*(1-p_baddebt)+p_fact_share*IF(AA$3-1&gt;=1,INDEX($D$15:$BK$15,1,AA$3-1),0)*(1-p_baddebt)*(1-p_fact_cost*c_dso_m)+IF(AA$3=ROUND(p_stop_det,0)+1,INDEX($D$19:$BK$19,1,ROUND(p_stop_det,0))*p_inv_liq,0)</f>
        <v>16559.7379600183</v>
      </c>
      <c r="AB24" s="25" t="n">
        <f aca="false">(1-p_fact_share)*IF(AB$3-c_dso_m&gt;=1,INDEX($D$15:$BK$15,1,AB$3-c_dso_m),0)*(1-p_baddebt)+p_fact_share*IF(AB$3-1&gt;=1,INDEX($D$15:$BK$15,1,AB$3-1),0)*(1-p_baddebt)*(1-p_fact_cost*c_dso_m)+IF(AB$3=ROUND(p_stop_det,0)+1,INDEX($D$19:$BK$19,1,ROUND(p_stop_det,0))*p_inv_liq,0)</f>
        <v>17168.016775911</v>
      </c>
      <c r="AC24" s="25" t="n">
        <f aca="false">(1-p_fact_share)*IF(AC$3-c_dso_m&gt;=1,INDEX($D$15:$BK$15,1,AC$3-c_dso_m),0)*(1-p_baddebt)+p_fact_share*IF(AC$3-1&gt;=1,INDEX($D$15:$BK$15,1,AC$3-1),0)*(1-p_baddebt)*(1-p_fact_cost*c_dso_m)+IF(AC$3=ROUND(p_stop_det,0)+1,INDEX($D$19:$BK$19,1,ROUND(p_stop_det,0))*p_inv_liq,0)</f>
        <v>17168.016775911</v>
      </c>
      <c r="AD24" s="25" t="n">
        <f aca="false">(1-p_fact_share)*IF(AD$3-c_dso_m&gt;=1,INDEX($D$15:$BK$15,1,AD$3-c_dso_m),0)*(1-p_baddebt)+p_fact_share*IF(AD$3-1&gt;=1,INDEX($D$15:$BK$15,1,AD$3-1),0)*(1-p_baddebt)*(1-p_fact_cost*c_dso_m)+IF(AD$3=ROUND(p_stop_det,0)+1,INDEX($D$19:$BK$19,1,ROUND(p_stop_det,0))*p_inv_liq,0)</f>
        <v>17168.016775911</v>
      </c>
      <c r="AE24" s="25" t="n">
        <f aca="false">(1-p_fact_share)*IF(AE$3-c_dso_m&gt;=1,INDEX($D$15:$BK$15,1,AE$3-c_dso_m),0)*(1-p_baddebt)+p_fact_share*IF(AE$3-1&gt;=1,INDEX($D$15:$BK$15,1,AE$3-1),0)*(1-p_baddebt)*(1-p_fact_cost*c_dso_m)+IF(AE$3=ROUND(p_stop_det,0)+1,INDEX($D$19:$BK$19,1,ROUND(p_stop_det,0))*p_inv_liq,0)</f>
        <v>17168.016775911</v>
      </c>
      <c r="AF24" s="25" t="n">
        <f aca="false">(1-p_fact_share)*IF(AF$3-c_dso_m&gt;=1,INDEX($D$15:$BK$15,1,AF$3-c_dso_m),0)*(1-p_baddebt)+p_fact_share*IF(AF$3-1&gt;=1,INDEX($D$15:$BK$15,1,AF$3-1),0)*(1-p_baddebt)*(1-p_fact_cost*c_dso_m)+IF(AF$3=ROUND(p_stop_det,0)+1,INDEX($D$19:$BK$19,1,ROUND(p_stop_det,0))*p_inv_liq,0)</f>
        <v>21168.3066999637</v>
      </c>
      <c r="AG24" s="25" t="n">
        <f aca="false">(1-p_fact_share)*IF(AG$3-c_dso_m&gt;=1,INDEX($D$15:$BK$15,1,AG$3-c_dso_m),0)*(1-p_baddebt)+p_fact_share*IF(AG$3-1&gt;=1,INDEX($D$15:$BK$15,1,AG$3-1),0)*(1-p_baddebt)*(1-p_fact_cost*c_dso_m)+IF(AG$3=ROUND(p_stop_det,0)+1,INDEX($D$19:$BK$19,1,ROUND(p_stop_det,0))*p_inv_liq,0)</f>
        <v>20758.5418531418</v>
      </c>
      <c r="AH24" s="25" t="n">
        <f aca="false">(1-p_fact_share)*IF(AH$3-c_dso_m&gt;=1,INDEX($D$15:$BK$15,1,AH$3-c_dso_m),0)*(1-p_baddebt)+p_fact_share*IF(AH$3-1&gt;=1,INDEX($D$15:$BK$15,1,AH$3-1),0)*(1-p_baddebt)*(1-p_fact_cost*c_dso_m)+IF(AH$3=ROUND(p_stop_det,0)+1,INDEX($D$19:$BK$19,1,ROUND(p_stop_det,0))*p_inv_liq,0)</f>
        <v>20983.8262073188</v>
      </c>
      <c r="AI24" s="25" t="n">
        <f aca="false">(1-p_fact_share)*IF(AI$3-c_dso_m&gt;=1,INDEX($D$15:$BK$15,1,AI$3-c_dso_m),0)*(1-p_baddebt)+p_fact_share*IF(AI$3-1&gt;=1,INDEX($D$15:$BK$15,1,AI$3-1),0)*(1-p_baddebt)*(1-p_fact_cost*c_dso_m)+IF(AI$3=ROUND(p_stop_det,0)+1,INDEX($D$19:$BK$19,1,ROUND(p_stop_det,0))*p_inv_liq,0)</f>
        <v>21209.1105614959</v>
      </c>
      <c r="AJ24" s="25" t="n">
        <f aca="false">(1-p_fact_share)*IF(AJ$3-c_dso_m&gt;=1,INDEX($D$15:$BK$15,1,AJ$3-c_dso_m),0)*(1-p_baddebt)+p_fact_share*IF(AJ$3-1&gt;=1,INDEX($D$15:$BK$15,1,AJ$3-1),0)*(1-p_baddebt)*(1-p_fact_cost*c_dso_m)+IF(AJ$3=ROUND(p_stop_det,0)+1,INDEX($D$19:$BK$19,1,ROUND(p_stop_det,0))*p_inv_liq,0)</f>
        <v>21434.3949156729</v>
      </c>
      <c r="AK24" s="25" t="n">
        <f aca="false">(1-p_fact_share)*IF(AK$3-c_dso_m&gt;=1,INDEX($D$15:$BK$15,1,AK$3-c_dso_m),0)*(1-p_baddebt)+p_fact_share*IF(AK$3-1&gt;=1,INDEX($D$15:$BK$15,1,AK$3-1),0)*(1-p_baddebt)*(1-p_fact_cost*c_dso_m)+IF(AK$3=ROUND(p_stop_det,0)+1,INDEX($D$19:$BK$19,1,ROUND(p_stop_det,0))*p_inv_liq,0)</f>
        <v>21659.6792698499</v>
      </c>
      <c r="AL24" s="25" t="n">
        <f aca="false">(1-p_fact_share)*IF(AL$3-c_dso_m&gt;=1,INDEX($D$15:$BK$15,1,AL$3-c_dso_m),0)*(1-p_baddebt)+p_fact_share*IF(AL$3-1&gt;=1,INDEX($D$15:$BK$15,1,AL$3-1),0)*(1-p_baddebt)*(1-p_fact_cost*c_dso_m)+IF(AL$3=ROUND(p_stop_det,0)+1,INDEX($D$19:$BK$19,1,ROUND(p_stop_det,0))*p_inv_liq,0)</f>
        <v>21884.9636240269</v>
      </c>
      <c r="AM24" s="25" t="n">
        <f aca="false">(1-p_fact_share)*IF(AM$3-c_dso_m&gt;=1,INDEX($D$15:$BK$15,1,AM$3-c_dso_m),0)*(1-p_baddebt)+p_fact_share*IF(AM$3-1&gt;=1,INDEX($D$15:$BK$15,1,AM$3-1),0)*(1-p_baddebt)*(1-p_fact_cost*c_dso_m)+IF(AM$3=ROUND(p_stop_det,0)+1,INDEX($D$19:$BK$19,1,ROUND(p_stop_det,0))*p_inv_liq,0)</f>
        <v>22110.247978204</v>
      </c>
      <c r="AN24" s="25" t="n">
        <f aca="false">(1-p_fact_share)*IF(AN$3-c_dso_m&gt;=1,INDEX($D$15:$BK$15,1,AN$3-c_dso_m),0)*(1-p_baddebt)+p_fact_share*IF(AN$3-1&gt;=1,INDEX($D$15:$BK$15,1,AN$3-1),0)*(1-p_baddebt)*(1-p_fact_cost*c_dso_m)+IF(AN$3=ROUND(p_stop_det,0)+1,INDEX($D$19:$BK$19,1,ROUND(p_stop_det,0))*p_inv_liq,0)</f>
        <v>22335.532332381</v>
      </c>
      <c r="AO24" s="25" t="n">
        <f aca="false">(1-p_fact_share)*IF(AO$3-c_dso_m&gt;=1,INDEX($D$15:$BK$15,1,AO$3-c_dso_m),0)*(1-p_baddebt)+p_fact_share*IF(AO$3-1&gt;=1,INDEX($D$15:$BK$15,1,AO$3-1),0)*(1-p_baddebt)*(1-p_fact_cost*c_dso_m)+IF(AO$3=ROUND(p_stop_det,0)+1,INDEX($D$19:$BK$19,1,ROUND(p_stop_det,0))*p_inv_liq,0)</f>
        <v>22560.816686558</v>
      </c>
      <c r="AP24" s="25" t="n">
        <f aca="false">(1-p_fact_share)*IF(AP$3-c_dso_m&gt;=1,INDEX($D$15:$BK$15,1,AP$3-c_dso_m),0)*(1-p_baddebt)+p_fact_share*IF(AP$3-1&gt;=1,INDEX($D$15:$BK$15,1,AP$3-1),0)*(1-p_baddebt)*(1-p_fact_cost*c_dso_m)+IF(AP$3=ROUND(p_stop_det,0)+1,INDEX($D$19:$BK$19,1,ROUND(p_stop_det,0))*p_inv_liq,0)</f>
        <v>22786.101040735</v>
      </c>
      <c r="AQ24" s="25" t="n">
        <f aca="false">(1-p_fact_share)*IF(AQ$3-c_dso_m&gt;=1,INDEX($D$15:$BK$15,1,AQ$3-c_dso_m),0)*(1-p_baddebt)+p_fact_share*IF(AQ$3-1&gt;=1,INDEX($D$15:$BK$15,1,AQ$3-1),0)*(1-p_baddebt)*(1-p_fact_cost*c_dso_m)+IF(AQ$3=ROUND(p_stop_det,0)+1,INDEX($D$19:$BK$19,1,ROUND(p_stop_det,0))*p_inv_liq,0)</f>
        <v>23011.385394912</v>
      </c>
      <c r="AR24" s="25" t="n">
        <f aca="false">(1-p_fact_share)*IF(AR$3-c_dso_m&gt;=1,INDEX($D$15:$BK$15,1,AR$3-c_dso_m),0)*(1-p_baddebt)+p_fact_share*IF(AR$3-1&gt;=1,INDEX($D$15:$BK$15,1,AR$3-1),0)*(1-p_baddebt)*(1-p_fact_cost*c_dso_m)+IF(AR$3=ROUND(p_stop_det,0)+1,INDEX($D$19:$BK$19,1,ROUND(p_stop_det,0))*p_inv_liq,0)</f>
        <v>23011.385394912</v>
      </c>
      <c r="AS24" s="25" t="n">
        <f aca="false">(1-p_fact_share)*IF(AS$3-c_dso_m&gt;=1,INDEX($D$15:$BK$15,1,AS$3-c_dso_m),0)*(1-p_baddebt)+p_fact_share*IF(AS$3-1&gt;=1,INDEX($D$15:$BK$15,1,AS$3-1),0)*(1-p_baddebt)*(1-p_fact_cost*c_dso_m)+IF(AS$3=ROUND(p_stop_det,0)+1,INDEX($D$19:$BK$19,1,ROUND(p_stop_det,0))*p_inv_liq,0)</f>
        <v>22321.0438330647</v>
      </c>
      <c r="AT24" s="25" t="n">
        <f aca="false">(1-p_fact_share)*IF(AT$3-c_dso_m&gt;=1,INDEX($D$15:$BK$15,1,AT$3-c_dso_m),0)*(1-p_baddebt)+p_fact_share*IF(AT$3-1&gt;=1,INDEX($D$15:$BK$15,1,AT$3-1),0)*(1-p_baddebt)*(1-p_fact_cost*c_dso_m)+IF(AT$3=ROUND(p_stop_det,0)+1,INDEX($D$19:$BK$19,1,ROUND(p_stop_det,0))*p_inv_liq,0)</f>
        <v>22321.0438330647</v>
      </c>
      <c r="AU24" s="25" t="n">
        <f aca="false">(1-p_fact_share)*IF(AU$3-c_dso_m&gt;=1,INDEX($D$15:$BK$15,1,AU$3-c_dso_m),0)*(1-p_baddebt)+p_fact_share*IF(AU$3-1&gt;=1,INDEX($D$15:$BK$15,1,AU$3-1),0)*(1-p_baddebt)*(1-p_fact_cost*c_dso_m)+IF(AU$3=ROUND(p_stop_det,0)+1,INDEX($D$19:$BK$19,1,ROUND(p_stop_det,0))*p_inv_liq,0)</f>
        <v>22321.0438330647</v>
      </c>
      <c r="AV24" s="25" t="n">
        <f aca="false">(1-p_fact_share)*IF(AV$3-c_dso_m&gt;=1,INDEX($D$15:$BK$15,1,AV$3-c_dso_m),0)*(1-p_baddebt)+p_fact_share*IF(AV$3-1&gt;=1,INDEX($D$15:$BK$15,1,AV$3-1),0)*(1-p_baddebt)*(1-p_fact_cost*c_dso_m)+IF(AV$3=ROUND(p_stop_det,0)+1,INDEX($D$19:$BK$19,1,ROUND(p_stop_det,0))*p_inv_liq,0)</f>
        <v>22321.0438330647</v>
      </c>
      <c r="AW24" s="25" t="n">
        <f aca="false">(1-p_fact_share)*IF(AW$3-c_dso_m&gt;=1,INDEX($D$15:$BK$15,1,AW$3-c_dso_m),0)*(1-p_baddebt)+p_fact_share*IF(AW$3-1&gt;=1,INDEX($D$15:$BK$15,1,AW$3-1),0)*(1-p_baddebt)*(1-p_fact_cost*c_dso_m)+IF(AW$3=ROUND(p_stop_det,0)+1,INDEX($D$19:$BK$19,1,ROUND(p_stop_det,0))*p_inv_liq,0)</f>
        <v>22321.0438330647</v>
      </c>
      <c r="AX24" s="25" t="n">
        <f aca="false">(1-p_fact_share)*IF(AX$3-c_dso_m&gt;=1,INDEX($D$15:$BK$15,1,AX$3-c_dso_m),0)*(1-p_baddebt)+p_fact_share*IF(AX$3-1&gt;=1,INDEX($D$15:$BK$15,1,AX$3-1),0)*(1-p_baddebt)*(1-p_fact_cost*c_dso_m)+IF(AX$3=ROUND(p_stop_det,0)+1,INDEX($D$19:$BK$19,1,ROUND(p_stop_det,0))*p_inv_liq,0)</f>
        <v>22321.0438330647</v>
      </c>
      <c r="AY24" s="25" t="n">
        <f aca="false">(1-p_fact_share)*IF(AY$3-c_dso_m&gt;=1,INDEX($D$15:$BK$15,1,AY$3-c_dso_m),0)*(1-p_baddebt)+p_fact_share*IF(AY$3-1&gt;=1,INDEX($D$15:$BK$15,1,AY$3-1),0)*(1-p_baddebt)*(1-p_fact_cost*c_dso_m)+IF(AY$3=ROUND(p_stop_det,0)+1,INDEX($D$19:$BK$19,1,ROUND(p_stop_det,0))*p_inv_liq,0)</f>
        <v>22321.0438330647</v>
      </c>
      <c r="AZ24" s="25" t="n">
        <f aca="false">(1-p_fact_share)*IF(AZ$3-c_dso_m&gt;=1,INDEX($D$15:$BK$15,1,AZ$3-c_dso_m),0)*(1-p_baddebt)+p_fact_share*IF(AZ$3-1&gt;=1,INDEX($D$15:$BK$15,1,AZ$3-1),0)*(1-p_baddebt)*(1-p_fact_cost*c_dso_m)+IF(AZ$3=ROUND(p_stop_det,0)+1,INDEX($D$19:$BK$19,1,ROUND(p_stop_det,0))*p_inv_liq,0)</f>
        <v>22321.0438330647</v>
      </c>
      <c r="BA24" s="25" t="n">
        <f aca="false">(1-p_fact_share)*IF(BA$3-c_dso_m&gt;=1,INDEX($D$15:$BK$15,1,BA$3-c_dso_m),0)*(1-p_baddebt)+p_fact_share*IF(BA$3-1&gt;=1,INDEX($D$15:$BK$15,1,BA$3-1),0)*(1-p_baddebt)*(1-p_fact_cost*c_dso_m)+IF(BA$3=ROUND(p_stop_det,0)+1,INDEX($D$19:$BK$19,1,ROUND(p_stop_det,0))*p_inv_liq,0)</f>
        <v>22321.0438330647</v>
      </c>
      <c r="BB24" s="25" t="n">
        <f aca="false">(1-p_fact_share)*IF(BB$3-c_dso_m&gt;=1,INDEX($D$15:$BK$15,1,BB$3-c_dso_m),0)*(1-p_baddebt)+p_fact_share*IF(BB$3-1&gt;=1,INDEX($D$15:$BK$15,1,BB$3-1),0)*(1-p_baddebt)*(1-p_fact_cost*c_dso_m)+IF(BB$3=ROUND(p_stop_det,0)+1,INDEX($D$19:$BK$19,1,ROUND(p_stop_det,0))*p_inv_liq,0)</f>
        <v>22321.0438330647</v>
      </c>
      <c r="BC24" s="25" t="n">
        <f aca="false">(1-p_fact_share)*IF(BC$3-c_dso_m&gt;=1,INDEX($D$15:$BK$15,1,BC$3-c_dso_m),0)*(1-p_baddebt)+p_fact_share*IF(BC$3-1&gt;=1,INDEX($D$15:$BK$15,1,BC$3-1),0)*(1-p_baddebt)*(1-p_fact_cost*c_dso_m)+IF(BC$3=ROUND(p_stop_det,0)+1,INDEX($D$19:$BK$19,1,ROUND(p_stop_det,0))*p_inv_liq,0)</f>
        <v>22321.0438330647</v>
      </c>
      <c r="BD24" s="25" t="n">
        <f aca="false">(1-p_fact_share)*IF(BD$3-c_dso_m&gt;=1,INDEX($D$15:$BK$15,1,BD$3-c_dso_m),0)*(1-p_baddebt)+p_fact_share*IF(BD$3-1&gt;=1,INDEX($D$15:$BK$15,1,BD$3-1),0)*(1-p_baddebt)*(1-p_fact_cost*c_dso_m)+IF(BD$3=ROUND(p_stop_det,0)+1,INDEX($D$19:$BK$19,1,ROUND(p_stop_det,0))*p_inv_liq,0)</f>
        <v>22321.0438330647</v>
      </c>
      <c r="BE24" s="25" t="n">
        <f aca="false">(1-p_fact_share)*IF(BE$3-c_dso_m&gt;=1,INDEX($D$15:$BK$15,1,BE$3-c_dso_m),0)*(1-p_baddebt)+p_fact_share*IF(BE$3-1&gt;=1,INDEX($D$15:$BK$15,1,BE$3-1),0)*(1-p_baddebt)*(1-p_fact_cost*c_dso_m)+IF(BE$3=ROUND(p_stop_det,0)+1,INDEX($D$19:$BK$19,1,ROUND(p_stop_det,0))*p_inv_liq,0)</f>
        <v>21651.4125180727</v>
      </c>
      <c r="BF24" s="25" t="n">
        <f aca="false">(1-p_fact_share)*IF(BF$3-c_dso_m&gt;=1,INDEX($D$15:$BK$15,1,BF$3-c_dso_m),0)*(1-p_baddebt)+p_fact_share*IF(BF$3-1&gt;=1,INDEX($D$15:$BK$15,1,BF$3-1),0)*(1-p_baddebt)*(1-p_fact_cost*c_dso_m)+IF(BF$3=ROUND(p_stop_det,0)+1,INDEX($D$19:$BK$19,1,ROUND(p_stop_det,0))*p_inv_liq,0)</f>
        <v>21651.4125180727</v>
      </c>
      <c r="BG24" s="25" t="n">
        <f aca="false">(1-p_fact_share)*IF(BG$3-c_dso_m&gt;=1,INDEX($D$15:$BK$15,1,BG$3-c_dso_m),0)*(1-p_baddebt)+p_fact_share*IF(BG$3-1&gt;=1,INDEX($D$15:$BK$15,1,BG$3-1),0)*(1-p_baddebt)*(1-p_fact_cost*c_dso_m)+IF(BG$3=ROUND(p_stop_det,0)+1,INDEX($D$19:$BK$19,1,ROUND(p_stop_det,0))*p_inv_liq,0)</f>
        <v>21651.4125180727</v>
      </c>
      <c r="BH24" s="25" t="n">
        <f aca="false">(1-p_fact_share)*IF(BH$3-c_dso_m&gt;=1,INDEX($D$15:$BK$15,1,BH$3-c_dso_m),0)*(1-p_baddebt)+p_fact_share*IF(BH$3-1&gt;=1,INDEX($D$15:$BK$15,1,BH$3-1),0)*(1-p_baddebt)*(1-p_fact_cost*c_dso_m)+IF(BH$3=ROUND(p_stop_det,0)+1,INDEX($D$19:$BK$19,1,ROUND(p_stop_det,0))*p_inv_liq,0)</f>
        <v>21651.4125180727</v>
      </c>
      <c r="BI24" s="25" t="n">
        <f aca="false">(1-p_fact_share)*IF(BI$3-c_dso_m&gt;=1,INDEX($D$15:$BK$15,1,BI$3-c_dso_m),0)*(1-p_baddebt)+p_fact_share*IF(BI$3-1&gt;=1,INDEX($D$15:$BK$15,1,BI$3-1),0)*(1-p_baddebt)*(1-p_fact_cost*c_dso_m)+IF(BI$3=ROUND(p_stop_det,0)+1,INDEX($D$19:$BK$19,1,ROUND(p_stop_det,0))*p_inv_liq,0)</f>
        <v>21651.4125180727</v>
      </c>
      <c r="BJ24" s="25" t="n">
        <f aca="false">(1-p_fact_share)*IF(BJ$3-c_dso_m&gt;=1,INDEX($D$15:$BK$15,1,BJ$3-c_dso_m),0)*(1-p_baddebt)+p_fact_share*IF(BJ$3-1&gt;=1,INDEX($D$15:$BK$15,1,BJ$3-1),0)*(1-p_baddebt)*(1-p_fact_cost*c_dso_m)+IF(BJ$3=ROUND(p_stop_det,0)+1,INDEX($D$19:$BK$19,1,ROUND(p_stop_det,0))*p_inv_liq,0)</f>
        <v>21651.4125180727</v>
      </c>
      <c r="BK24" s="25" t="n">
        <f aca="false">(1-p_fact_share)*IF(BK$3-c_dso_m&gt;=1,INDEX($D$15:$BK$15,1,BK$3-c_dso_m),0)*(1-p_baddebt)+p_fact_share*IF(BK$3-1&gt;=1,INDEX($D$15:$BK$15,1,BK$3-1),0)*(1-p_baddebt)*(1-p_fact_cost*c_dso_m)+IF(BK$3=ROUND(p_stop_det,0)+1,INDEX($D$19:$BK$19,1,ROUND(p_stop_det,0))*p_inv_liq,0)</f>
        <v>21651.4125180727</v>
      </c>
    </row>
    <row r="25" customFormat="false" ht="15" hidden="false" customHeight="true" outlineLevel="0" collapsed="false">
      <c r="A25" s="10" t="s">
        <v>445</v>
      </c>
      <c r="D25" s="15" t="n">
        <f aca="false">(p_dist+p_penal)*D15</f>
        <v>0</v>
      </c>
      <c r="E25" s="15" t="n">
        <f aca="false">(p_dist+p_penal)*E15</f>
        <v>0</v>
      </c>
      <c r="F25" s="15" t="n">
        <f aca="false">(p_dist+p_penal)*F15</f>
        <v>0</v>
      </c>
      <c r="G25" s="15" t="n">
        <f aca="false">(p_dist+p_penal)*G15</f>
        <v>0</v>
      </c>
      <c r="H25" s="15" t="n">
        <f aca="false">(p_dist+p_penal)*H15</f>
        <v>0</v>
      </c>
      <c r="I25" s="15" t="n">
        <f aca="false">(p_dist+p_penal)*I15</f>
        <v>0</v>
      </c>
      <c r="J25" s="15" t="n">
        <f aca="false">(p_dist+p_penal)*J15</f>
        <v>0</v>
      </c>
      <c r="K25" s="15" t="n">
        <f aca="false">(p_dist+p_penal)*K15</f>
        <v>0</v>
      </c>
      <c r="L25" s="15" t="n">
        <f aca="false">(p_dist+p_penal)*L15</f>
        <v>28.3609249496719</v>
      </c>
      <c r="M25" s="15" t="n">
        <f aca="false">(p_dist+p_penal)*M15</f>
        <v>56.7218498993437</v>
      </c>
      <c r="N25" s="15" t="n">
        <f aca="false">(p_dist+p_penal)*N15</f>
        <v>85.0827748490156</v>
      </c>
      <c r="O25" s="15" t="n">
        <f aca="false">(p_dist+p_penal)*O15</f>
        <v>113.443699798687</v>
      </c>
      <c r="P25" s="15" t="n">
        <f aca="false">(p_dist+p_penal)*P15</f>
        <v>137.550486005909</v>
      </c>
      <c r="Q25" s="15" t="n">
        <f aca="false">(p_dist+p_penal)*Q15</f>
        <v>165.06058320709</v>
      </c>
      <c r="R25" s="15" t="n">
        <f aca="false">(p_dist+p_penal)*R15</f>
        <v>638.892483758913</v>
      </c>
      <c r="S25" s="15" t="n">
        <f aca="false">(p_dist+p_penal)*S15</f>
        <v>666.402580960094</v>
      </c>
      <c r="T25" s="15" t="n">
        <f aca="false">(p_dist+p_penal)*T15</f>
        <v>693.912678161276</v>
      </c>
      <c r="U25" s="15" t="n">
        <f aca="false">(p_dist+p_penal)*U15</f>
        <v>721.422775362458</v>
      </c>
      <c r="V25" s="15" t="n">
        <f aca="false">(p_dist+p_penal)*V15</f>
        <v>748.93287256364</v>
      </c>
      <c r="W25" s="15" t="n">
        <f aca="false">(p_dist+p_penal)*W15</f>
        <v>776.442969764821</v>
      </c>
      <c r="X25" s="15" t="n">
        <f aca="false">(p_dist+p_penal)*X15</f>
        <v>776.442969764821</v>
      </c>
      <c r="Y25" s="15" t="n">
        <f aca="false">(p_dist+p_penal)*Y15</f>
        <v>776.442969764821</v>
      </c>
      <c r="Z25" s="15" t="n">
        <f aca="false">(p_dist+p_penal)*Z15</f>
        <v>776.442969764821</v>
      </c>
      <c r="AA25" s="15" t="n">
        <f aca="false">(p_dist+p_penal)*AA15</f>
        <v>957.360604520972</v>
      </c>
      <c r="AB25" s="15" t="n">
        <f aca="false">(p_dist+p_penal)*AB15</f>
        <v>938.828526021489</v>
      </c>
      <c r="AC25" s="15" t="n">
        <f aca="false">(p_dist+p_penal)*AC15</f>
        <v>949.017265657636</v>
      </c>
      <c r="AD25" s="15" t="n">
        <f aca="false">(p_dist+p_penal)*AD15</f>
        <v>959.206005293783</v>
      </c>
      <c r="AE25" s="15" t="n">
        <f aca="false">(p_dist+p_penal)*AE15</f>
        <v>969.39474492993</v>
      </c>
      <c r="AF25" s="15" t="n">
        <f aca="false">(p_dist+p_penal)*AF15</f>
        <v>979.583484566076</v>
      </c>
      <c r="AG25" s="15" t="n">
        <f aca="false">(p_dist+p_penal)*AG15</f>
        <v>989.772224202223</v>
      </c>
      <c r="AH25" s="15" t="n">
        <f aca="false">(p_dist+p_penal)*AH15</f>
        <v>999.96096383837</v>
      </c>
      <c r="AI25" s="15" t="n">
        <f aca="false">(p_dist+p_penal)*AI15</f>
        <v>1010.14970347452</v>
      </c>
      <c r="AJ25" s="15" t="n">
        <f aca="false">(p_dist+p_penal)*AJ15</f>
        <v>1020.33844311066</v>
      </c>
      <c r="AK25" s="15" t="n">
        <f aca="false">(p_dist+p_penal)*AK15</f>
        <v>1030.52718274681</v>
      </c>
      <c r="AL25" s="15" t="n">
        <f aca="false">(p_dist+p_penal)*AL15</f>
        <v>1040.71592238296</v>
      </c>
      <c r="AM25" s="15" t="n">
        <f aca="false">(p_dist+p_penal)*AM15</f>
        <v>1040.71592238296</v>
      </c>
      <c r="AN25" s="15" t="n">
        <f aca="false">(p_dist+p_penal)*AN15</f>
        <v>1009.49444471147</v>
      </c>
      <c r="AO25" s="15" t="n">
        <f aca="false">(p_dist+p_penal)*AO15</f>
        <v>1009.49444471147</v>
      </c>
      <c r="AP25" s="15" t="n">
        <f aca="false">(p_dist+p_penal)*AP15</f>
        <v>1009.49444471147</v>
      </c>
      <c r="AQ25" s="15" t="n">
        <f aca="false">(p_dist+p_penal)*AQ15</f>
        <v>1009.49444471147</v>
      </c>
      <c r="AR25" s="15" t="n">
        <f aca="false">(p_dist+p_penal)*AR15</f>
        <v>1009.49444471147</v>
      </c>
      <c r="AS25" s="15" t="n">
        <f aca="false">(p_dist+p_penal)*AS15</f>
        <v>1009.49444471147</v>
      </c>
      <c r="AT25" s="15" t="n">
        <f aca="false">(p_dist+p_penal)*AT15</f>
        <v>1009.49444471147</v>
      </c>
      <c r="AU25" s="15" t="n">
        <f aca="false">(p_dist+p_penal)*AU15</f>
        <v>1009.49444471147</v>
      </c>
      <c r="AV25" s="15" t="n">
        <f aca="false">(p_dist+p_penal)*AV15</f>
        <v>1009.49444471147</v>
      </c>
      <c r="AW25" s="15" t="n">
        <f aca="false">(p_dist+p_penal)*AW15</f>
        <v>1009.49444471147</v>
      </c>
      <c r="AX25" s="15" t="n">
        <f aca="false">(p_dist+p_penal)*AX15</f>
        <v>1009.49444471147</v>
      </c>
      <c r="AY25" s="15" t="n">
        <f aca="false">(p_dist+p_penal)*AY15</f>
        <v>1009.49444471147</v>
      </c>
      <c r="AZ25" s="15" t="n">
        <f aca="false">(p_dist+p_penal)*AZ15</f>
        <v>979.209611370124</v>
      </c>
      <c r="BA25" s="15" t="n">
        <f aca="false">(p_dist+p_penal)*BA15</f>
        <v>979.209611370124</v>
      </c>
      <c r="BB25" s="15" t="n">
        <f aca="false">(p_dist+p_penal)*BB15</f>
        <v>979.209611370124</v>
      </c>
      <c r="BC25" s="15" t="n">
        <f aca="false">(p_dist+p_penal)*BC15</f>
        <v>979.209611370124</v>
      </c>
      <c r="BD25" s="15" t="n">
        <f aca="false">(p_dist+p_penal)*BD15</f>
        <v>979.209611370124</v>
      </c>
      <c r="BE25" s="15" t="n">
        <f aca="false">(p_dist+p_penal)*BE15</f>
        <v>979.209611370124</v>
      </c>
      <c r="BF25" s="15" t="n">
        <f aca="false">(p_dist+p_penal)*BF15</f>
        <v>979.209611370124</v>
      </c>
      <c r="BG25" s="15" t="n">
        <f aca="false">(p_dist+p_penal)*BG15</f>
        <v>979.209611370124</v>
      </c>
      <c r="BH25" s="15" t="n">
        <f aca="false">(p_dist+p_penal)*BH15</f>
        <v>979.209611370124</v>
      </c>
      <c r="BI25" s="15" t="n">
        <f aca="false">(p_dist+p_penal)*BI15</f>
        <v>979.209611370124</v>
      </c>
      <c r="BJ25" s="15" t="n">
        <f aca="false">(p_dist+p_penal)*BJ15</f>
        <v>979.209611370124</v>
      </c>
      <c r="BK25" s="15" t="n">
        <f aca="false">(p_dist+p_penal)*BK15</f>
        <v>979.209611370124</v>
      </c>
    </row>
    <row r="26" customFormat="false" ht="15" hidden="false" customHeight="true" outlineLevel="0" collapsed="false">
      <c r="A26" s="10" t="s">
        <v>446</v>
      </c>
      <c r="D26" s="15" t="n">
        <f aca="false">IF(D$3&gt;ROUND(p_stop_det,0)+3,0,SUMPRODUCT(f_used*(D$3&gt;=f_start)))</f>
        <v>1137.9</v>
      </c>
      <c r="E26" s="15" t="n">
        <f aca="false">IF(E$3&gt;ROUND(p_stop_det,0)+3,0,SUMPRODUCT(f_used*(E$3&gt;=f_start)))</f>
        <v>1137.9</v>
      </c>
      <c r="F26" s="15" t="n">
        <f aca="false">IF(F$3&gt;ROUND(p_stop_det,0)+3,0,SUMPRODUCT(f_used*(F$3&gt;=f_start)))</f>
        <v>2775.9</v>
      </c>
      <c r="G26" s="15" t="n">
        <f aca="false">IF(G$3&gt;ROUND(p_stop_det,0)+3,0,SUMPRODUCT(f_used*(G$3&gt;=f_start)))</f>
        <v>2775.9</v>
      </c>
      <c r="H26" s="15" t="n">
        <f aca="false">IF(H$3&gt;ROUND(p_stop_det,0)+3,0,SUMPRODUCT(f_used*(H$3&gt;=f_start)))</f>
        <v>4695.9</v>
      </c>
      <c r="I26" s="15" t="n">
        <f aca="false">IF(I$3&gt;ROUND(p_stop_det,0)+3,0,SUMPRODUCT(f_used*(I$3&gt;=f_start)))</f>
        <v>4695.9</v>
      </c>
      <c r="J26" s="15" t="n">
        <f aca="false">IF(J$3&gt;ROUND(p_stop_det,0)+3,0,SUMPRODUCT(f_used*(J$3&gt;=f_start)))</f>
        <v>4695.9</v>
      </c>
      <c r="K26" s="15" t="n">
        <f aca="false">IF(K$3&gt;ROUND(p_stop_det,0)+3,0,SUMPRODUCT(f_used*(K$3&gt;=f_start)))</f>
        <v>4695.9</v>
      </c>
      <c r="L26" s="15" t="n">
        <f aca="false">IF(L$3&gt;ROUND(p_stop_det,0)+3,0,SUMPRODUCT(f_used*(L$3&gt;=f_start)))</f>
        <v>4695.9</v>
      </c>
      <c r="M26" s="15" t="n">
        <f aca="false">IF(M$3&gt;ROUND(p_stop_det,0)+3,0,SUMPRODUCT(f_used*(M$3&gt;=f_start)))</f>
        <v>4695.9</v>
      </c>
      <c r="N26" s="15" t="n">
        <f aca="false">IF(N$3&gt;ROUND(p_stop_det,0)+3,0,SUMPRODUCT(f_used*(N$3&gt;=f_start)))</f>
        <v>4695.9</v>
      </c>
      <c r="O26" s="15" t="n">
        <f aca="false">IF(O$3&gt;ROUND(p_stop_det,0)+3,0,SUMPRODUCT(f_used*(O$3&gt;=f_start)))</f>
        <v>4695.9</v>
      </c>
      <c r="P26" s="15" t="n">
        <f aca="false">IF(P$3&gt;ROUND(p_stop_det,0)+3,0,SUMPRODUCT(f_used*(P$3&gt;=f_start)))</f>
        <v>4695.9</v>
      </c>
      <c r="Q26" s="15" t="n">
        <f aca="false">IF(Q$3&gt;ROUND(p_stop_det,0)+3,0,SUMPRODUCT(f_used*(Q$3&gt;=f_start)))</f>
        <v>4695.9</v>
      </c>
      <c r="R26" s="15" t="n">
        <f aca="false">IF(R$3&gt;ROUND(p_stop_det,0)+3,0,SUMPRODUCT(f_used*(R$3&gt;=f_start)))</f>
        <v>4695.9</v>
      </c>
      <c r="S26" s="15" t="n">
        <f aca="false">IF(S$3&gt;ROUND(p_stop_det,0)+3,0,SUMPRODUCT(f_used*(S$3&gt;=f_start)))</f>
        <v>4695.9</v>
      </c>
      <c r="T26" s="15" t="n">
        <f aca="false">IF(T$3&gt;ROUND(p_stop_det,0)+3,0,SUMPRODUCT(f_used*(T$3&gt;=f_start)))</f>
        <v>4695.9</v>
      </c>
      <c r="U26" s="15" t="n">
        <f aca="false">IF(U$3&gt;ROUND(p_stop_det,0)+3,0,SUMPRODUCT(f_used*(U$3&gt;=f_start)))</f>
        <v>4695.9</v>
      </c>
      <c r="V26" s="15" t="n">
        <f aca="false">IF(V$3&gt;ROUND(p_stop_det,0)+3,0,SUMPRODUCT(f_used*(V$3&gt;=f_start)))</f>
        <v>4695.9</v>
      </c>
      <c r="W26" s="15" t="n">
        <f aca="false">IF(W$3&gt;ROUND(p_stop_det,0)+3,0,SUMPRODUCT(f_used*(W$3&gt;=f_start)))</f>
        <v>4695.9</v>
      </c>
      <c r="X26" s="15" t="n">
        <f aca="false">IF(X$3&gt;ROUND(p_stop_det,0)+3,0,SUMPRODUCT(f_used*(X$3&gt;=f_start)))</f>
        <v>4695.9</v>
      </c>
      <c r="Y26" s="15" t="n">
        <f aca="false">IF(Y$3&gt;ROUND(p_stop_det,0)+3,0,SUMPRODUCT(f_used*(Y$3&gt;=f_start)))</f>
        <v>4695.9</v>
      </c>
      <c r="Z26" s="15" t="n">
        <f aca="false">IF(Z$3&gt;ROUND(p_stop_det,0)+3,0,SUMPRODUCT(f_used*(Z$3&gt;=f_start)))</f>
        <v>4695.9</v>
      </c>
      <c r="AA26" s="15" t="n">
        <f aca="false">IF(AA$3&gt;ROUND(p_stop_det,0)+3,0,SUMPRODUCT(f_used*(AA$3&gt;=f_start)))</f>
        <v>4695.9</v>
      </c>
      <c r="AB26" s="15" t="n">
        <f aca="false">IF(AB$3&gt;ROUND(p_stop_det,0)+3,0,SUMPRODUCT(f_used*(AB$3&gt;=f_start)))</f>
        <v>4695.9</v>
      </c>
      <c r="AC26" s="15" t="n">
        <f aca="false">IF(AC$3&gt;ROUND(p_stop_det,0)+3,0,SUMPRODUCT(f_used*(AC$3&gt;=f_start)))</f>
        <v>4695.9</v>
      </c>
      <c r="AD26" s="15" t="n">
        <f aca="false">IF(AD$3&gt;ROUND(p_stop_det,0)+3,0,SUMPRODUCT(f_used*(AD$3&gt;=f_start)))</f>
        <v>4695.9</v>
      </c>
      <c r="AE26" s="15" t="n">
        <f aca="false">IF(AE$3&gt;ROUND(p_stop_det,0)+3,0,SUMPRODUCT(f_used*(AE$3&gt;=f_start)))</f>
        <v>4695.9</v>
      </c>
      <c r="AF26" s="15" t="n">
        <f aca="false">IF(AF$3&gt;ROUND(p_stop_det,0)+3,0,SUMPRODUCT(f_used*(AF$3&gt;=f_start)))</f>
        <v>4695.9</v>
      </c>
      <c r="AG26" s="15" t="n">
        <f aca="false">IF(AG$3&gt;ROUND(p_stop_det,0)+3,0,SUMPRODUCT(f_used*(AG$3&gt;=f_start)))</f>
        <v>4695.9</v>
      </c>
      <c r="AH26" s="15" t="n">
        <f aca="false">IF(AH$3&gt;ROUND(p_stop_det,0)+3,0,SUMPRODUCT(f_used*(AH$3&gt;=f_start)))</f>
        <v>4695.9</v>
      </c>
      <c r="AI26" s="15" t="n">
        <f aca="false">IF(AI$3&gt;ROUND(p_stop_det,0)+3,0,SUMPRODUCT(f_used*(AI$3&gt;=f_start)))</f>
        <v>4695.9</v>
      </c>
      <c r="AJ26" s="15" t="n">
        <f aca="false">IF(AJ$3&gt;ROUND(p_stop_det,0)+3,0,SUMPRODUCT(f_used*(AJ$3&gt;=f_start)))</f>
        <v>4695.9</v>
      </c>
      <c r="AK26" s="15" t="n">
        <f aca="false">IF(AK$3&gt;ROUND(p_stop_det,0)+3,0,SUMPRODUCT(f_used*(AK$3&gt;=f_start)))</f>
        <v>4695.9</v>
      </c>
      <c r="AL26" s="15" t="n">
        <f aca="false">IF(AL$3&gt;ROUND(p_stop_det,0)+3,0,SUMPRODUCT(f_used*(AL$3&gt;=f_start)))</f>
        <v>4695.9</v>
      </c>
      <c r="AM26" s="15" t="n">
        <f aca="false">IF(AM$3&gt;ROUND(p_stop_det,0)+3,0,SUMPRODUCT(f_used*(AM$3&gt;=f_start)))</f>
        <v>4695.9</v>
      </c>
      <c r="AN26" s="15" t="n">
        <f aca="false">IF(AN$3&gt;ROUND(p_stop_det,0)+3,0,SUMPRODUCT(f_used*(AN$3&gt;=f_start)))</f>
        <v>4695.9</v>
      </c>
      <c r="AO26" s="15" t="n">
        <f aca="false">IF(AO$3&gt;ROUND(p_stop_det,0)+3,0,SUMPRODUCT(f_used*(AO$3&gt;=f_start)))</f>
        <v>4695.9</v>
      </c>
      <c r="AP26" s="15" t="n">
        <f aca="false">IF(AP$3&gt;ROUND(p_stop_det,0)+3,0,SUMPRODUCT(f_used*(AP$3&gt;=f_start)))</f>
        <v>4695.9</v>
      </c>
      <c r="AQ26" s="15" t="n">
        <f aca="false">IF(AQ$3&gt;ROUND(p_stop_det,0)+3,0,SUMPRODUCT(f_used*(AQ$3&gt;=f_start)))</f>
        <v>4695.9</v>
      </c>
      <c r="AR26" s="15" t="n">
        <f aca="false">IF(AR$3&gt;ROUND(p_stop_det,0)+3,0,SUMPRODUCT(f_used*(AR$3&gt;=f_start)))</f>
        <v>4695.9</v>
      </c>
      <c r="AS26" s="15" t="n">
        <f aca="false">IF(AS$3&gt;ROUND(p_stop_det,0)+3,0,SUMPRODUCT(f_used*(AS$3&gt;=f_start)))</f>
        <v>4695.9</v>
      </c>
      <c r="AT26" s="15" t="n">
        <f aca="false">IF(AT$3&gt;ROUND(p_stop_det,0)+3,0,SUMPRODUCT(f_used*(AT$3&gt;=f_start)))</f>
        <v>4695.9</v>
      </c>
      <c r="AU26" s="15" t="n">
        <f aca="false">IF(AU$3&gt;ROUND(p_stop_det,0)+3,0,SUMPRODUCT(f_used*(AU$3&gt;=f_start)))</f>
        <v>4695.9</v>
      </c>
      <c r="AV26" s="15" t="n">
        <f aca="false">IF(AV$3&gt;ROUND(p_stop_det,0)+3,0,SUMPRODUCT(f_used*(AV$3&gt;=f_start)))</f>
        <v>4695.9</v>
      </c>
      <c r="AW26" s="15" t="n">
        <f aca="false">IF(AW$3&gt;ROUND(p_stop_det,0)+3,0,SUMPRODUCT(f_used*(AW$3&gt;=f_start)))</f>
        <v>4695.9</v>
      </c>
      <c r="AX26" s="15" t="n">
        <f aca="false">IF(AX$3&gt;ROUND(p_stop_det,0)+3,0,SUMPRODUCT(f_used*(AX$3&gt;=f_start)))</f>
        <v>4695.9</v>
      </c>
      <c r="AY26" s="15" t="n">
        <f aca="false">IF(AY$3&gt;ROUND(p_stop_det,0)+3,0,SUMPRODUCT(f_used*(AY$3&gt;=f_start)))</f>
        <v>4695.9</v>
      </c>
      <c r="AZ26" s="15" t="n">
        <f aca="false">IF(AZ$3&gt;ROUND(p_stop_det,0)+3,0,SUMPRODUCT(f_used*(AZ$3&gt;=f_start)))</f>
        <v>4695.9</v>
      </c>
      <c r="BA26" s="15" t="n">
        <f aca="false">IF(BA$3&gt;ROUND(p_stop_det,0)+3,0,SUMPRODUCT(f_used*(BA$3&gt;=f_start)))</f>
        <v>4695.9</v>
      </c>
      <c r="BB26" s="15" t="n">
        <f aca="false">IF(BB$3&gt;ROUND(p_stop_det,0)+3,0,SUMPRODUCT(f_used*(BB$3&gt;=f_start)))</f>
        <v>4695.9</v>
      </c>
      <c r="BC26" s="15" t="n">
        <f aca="false">IF(BC$3&gt;ROUND(p_stop_det,0)+3,0,SUMPRODUCT(f_used*(BC$3&gt;=f_start)))</f>
        <v>4695.9</v>
      </c>
      <c r="BD26" s="15" t="n">
        <f aca="false">IF(BD$3&gt;ROUND(p_stop_det,0)+3,0,SUMPRODUCT(f_used*(BD$3&gt;=f_start)))</f>
        <v>4695.9</v>
      </c>
      <c r="BE26" s="15" t="n">
        <f aca="false">IF(BE$3&gt;ROUND(p_stop_det,0)+3,0,SUMPRODUCT(f_used*(BE$3&gt;=f_start)))</f>
        <v>4695.9</v>
      </c>
      <c r="BF26" s="15" t="n">
        <f aca="false">IF(BF$3&gt;ROUND(p_stop_det,0)+3,0,SUMPRODUCT(f_used*(BF$3&gt;=f_start)))</f>
        <v>4695.9</v>
      </c>
      <c r="BG26" s="15" t="n">
        <f aca="false">IF(BG$3&gt;ROUND(p_stop_det,0)+3,0,SUMPRODUCT(f_used*(BG$3&gt;=f_start)))</f>
        <v>4695.9</v>
      </c>
      <c r="BH26" s="15" t="n">
        <f aca="false">IF(BH$3&gt;ROUND(p_stop_det,0)+3,0,SUMPRODUCT(f_used*(BH$3&gt;=f_start)))</f>
        <v>4695.9</v>
      </c>
      <c r="BI26" s="15" t="n">
        <f aca="false">IF(BI$3&gt;ROUND(p_stop_det,0)+3,0,SUMPRODUCT(f_used*(BI$3&gt;=f_start)))</f>
        <v>4695.9</v>
      </c>
      <c r="BJ26" s="15" t="n">
        <f aca="false">IF(BJ$3&gt;ROUND(p_stop_det,0)+3,0,SUMPRODUCT(f_used*(BJ$3&gt;=f_start)))</f>
        <v>4695.9</v>
      </c>
      <c r="BK26" s="15" t="n">
        <f aca="false">IF(BK$3&gt;ROUND(p_stop_det,0)+3,0,SUMPRODUCT(f_used*(BK$3&gt;=f_start)))</f>
        <v>4695.9</v>
      </c>
    </row>
    <row r="27" customFormat="false" ht="15" hidden="false" customHeight="true" outlineLevel="0" collapsed="false">
      <c r="A27" s="10" t="s">
        <v>447</v>
      </c>
      <c r="D27" s="15" t="n">
        <f aca="false">IF(D$3&gt;ROUND(p_stop_det,0)+3,0,c_n_reg1*p_postreg/12*IF(D$3&gt;=c_reg_m,1,0)+c_n_reg2*p_postreg/12*IF(D$3&gt;=c_m2+c_rt,1,0))</f>
        <v>0</v>
      </c>
      <c r="E27" s="15" t="n">
        <f aca="false">IF(E$3&gt;ROUND(p_stop_det,0)+3,0,c_n_reg1*p_postreg/12*IF(E$3&gt;=c_reg_m,1,0)+c_n_reg2*p_postreg/12*IF(E$3&gt;=c_m2+c_rt,1,0))</f>
        <v>0</v>
      </c>
      <c r="F27" s="15" t="n">
        <f aca="false">IF(F$3&gt;ROUND(p_stop_det,0)+3,0,c_n_reg1*p_postreg/12*IF(F$3&gt;=c_reg_m,1,0)+c_n_reg2*p_postreg/12*IF(F$3&gt;=c_m2+c_rt,1,0))</f>
        <v>0</v>
      </c>
      <c r="G27" s="15" t="n">
        <f aca="false">IF(G$3&gt;ROUND(p_stop_det,0)+3,0,c_n_reg1*p_postreg/12*IF(G$3&gt;=c_reg_m,1,0)+c_n_reg2*p_postreg/12*IF(G$3&gt;=c_m2+c_rt,1,0))</f>
        <v>0</v>
      </c>
      <c r="H27" s="15" t="n">
        <f aca="false">IF(H$3&gt;ROUND(p_stop_det,0)+3,0,c_n_reg1*p_postreg/12*IF(H$3&gt;=c_reg_m,1,0)+c_n_reg2*p_postreg/12*IF(H$3&gt;=c_m2+c_rt,1,0))</f>
        <v>0</v>
      </c>
      <c r="I27" s="15" t="n">
        <f aca="false">IF(I$3&gt;ROUND(p_stop_det,0)+3,0,c_n_reg1*p_postreg/12*IF(I$3&gt;=c_reg_m,1,0)+c_n_reg2*p_postreg/12*IF(I$3&gt;=c_m2+c_rt,1,0))</f>
        <v>187</v>
      </c>
      <c r="J27" s="15" t="n">
        <f aca="false">IF(J$3&gt;ROUND(p_stop_det,0)+3,0,c_n_reg1*p_postreg/12*IF(J$3&gt;=c_reg_m,1,0)+c_n_reg2*p_postreg/12*IF(J$3&gt;=c_m2+c_rt,1,0))</f>
        <v>187</v>
      </c>
      <c r="K27" s="15" t="n">
        <f aca="false">IF(K$3&gt;ROUND(p_stop_det,0)+3,0,c_n_reg1*p_postreg/12*IF(K$3&gt;=c_reg_m,1,0)+c_n_reg2*p_postreg/12*IF(K$3&gt;=c_m2+c_rt,1,0))</f>
        <v>187</v>
      </c>
      <c r="L27" s="15" t="n">
        <f aca="false">IF(L$3&gt;ROUND(p_stop_det,0)+3,0,c_n_reg1*p_postreg/12*IF(L$3&gt;=c_reg_m,1,0)+c_n_reg2*p_postreg/12*IF(L$3&gt;=c_m2+c_rt,1,0))</f>
        <v>187</v>
      </c>
      <c r="M27" s="15" t="n">
        <f aca="false">IF(M$3&gt;ROUND(p_stop_det,0)+3,0,c_n_reg1*p_postreg/12*IF(M$3&gt;=c_reg_m,1,0)+c_n_reg2*p_postreg/12*IF(M$3&gt;=c_m2+c_rt,1,0))</f>
        <v>187</v>
      </c>
      <c r="N27" s="15" t="n">
        <f aca="false">IF(N$3&gt;ROUND(p_stop_det,0)+3,0,c_n_reg1*p_postreg/12*IF(N$3&gt;=c_reg_m,1,0)+c_n_reg2*p_postreg/12*IF(N$3&gt;=c_m2+c_rt,1,0))</f>
        <v>187</v>
      </c>
      <c r="O27" s="15" t="n">
        <f aca="false">IF(O$3&gt;ROUND(p_stop_det,0)+3,0,c_n_reg1*p_postreg/12*IF(O$3&gt;=c_reg_m,1,0)+c_n_reg2*p_postreg/12*IF(O$3&gt;=c_m2+c_rt,1,0))</f>
        <v>187</v>
      </c>
      <c r="P27" s="15" t="n">
        <f aca="false">IF(P$3&gt;ROUND(p_stop_det,0)+3,0,c_n_reg1*p_postreg/12*IF(P$3&gt;=c_reg_m,1,0)+c_n_reg2*p_postreg/12*IF(P$3&gt;=c_m2+c_rt,1,0))</f>
        <v>187</v>
      </c>
      <c r="Q27" s="15" t="n">
        <f aca="false">IF(Q$3&gt;ROUND(p_stop_det,0)+3,0,c_n_reg1*p_postreg/12*IF(Q$3&gt;=c_reg_m,1,0)+c_n_reg2*p_postreg/12*IF(Q$3&gt;=c_m2+c_rt,1,0))</f>
        <v>187</v>
      </c>
      <c r="R27" s="15" t="n">
        <f aca="false">IF(R$3&gt;ROUND(p_stop_det,0)+3,0,c_n_reg1*p_postreg/12*IF(R$3&gt;=c_reg_m,1,0)+c_n_reg2*p_postreg/12*IF(R$3&gt;=c_m2+c_rt,1,0))</f>
        <v>187</v>
      </c>
      <c r="S27" s="15" t="n">
        <f aca="false">IF(S$3&gt;ROUND(p_stop_det,0)+3,0,c_n_reg1*p_postreg/12*IF(S$3&gt;=c_reg_m,1,0)+c_n_reg2*p_postreg/12*IF(S$3&gt;=c_m2+c_rt,1,0))</f>
        <v>187</v>
      </c>
      <c r="T27" s="15" t="n">
        <f aca="false">IF(T$3&gt;ROUND(p_stop_det,0)+3,0,c_n_reg1*p_postreg/12*IF(T$3&gt;=c_reg_m,1,0)+c_n_reg2*p_postreg/12*IF(T$3&gt;=c_m2+c_rt,1,0))</f>
        <v>187</v>
      </c>
      <c r="U27" s="15" t="n">
        <f aca="false">IF(U$3&gt;ROUND(p_stop_det,0)+3,0,c_n_reg1*p_postreg/12*IF(U$3&gt;=c_reg_m,1,0)+c_n_reg2*p_postreg/12*IF(U$3&gt;=c_m2+c_rt,1,0))</f>
        <v>187</v>
      </c>
      <c r="V27" s="15" t="n">
        <f aca="false">IF(V$3&gt;ROUND(p_stop_det,0)+3,0,c_n_reg1*p_postreg/12*IF(V$3&gt;=c_reg_m,1,0)+c_n_reg2*p_postreg/12*IF(V$3&gt;=c_m2+c_rt,1,0))</f>
        <v>187</v>
      </c>
      <c r="W27" s="15" t="n">
        <f aca="false">IF(W$3&gt;ROUND(p_stop_det,0)+3,0,c_n_reg1*p_postreg/12*IF(W$3&gt;=c_reg_m,1,0)+c_n_reg2*p_postreg/12*IF(W$3&gt;=c_m2+c_rt,1,0))</f>
        <v>187</v>
      </c>
      <c r="X27" s="15" t="n">
        <f aca="false">IF(X$3&gt;ROUND(p_stop_det,0)+3,0,c_n_reg1*p_postreg/12*IF(X$3&gt;=c_reg_m,1,0)+c_n_reg2*p_postreg/12*IF(X$3&gt;=c_m2+c_rt,1,0))</f>
        <v>289</v>
      </c>
      <c r="Y27" s="15" t="n">
        <f aca="false">IF(Y$3&gt;ROUND(p_stop_det,0)+3,0,c_n_reg1*p_postreg/12*IF(Y$3&gt;=c_reg_m,1,0)+c_n_reg2*p_postreg/12*IF(Y$3&gt;=c_m2+c_rt,1,0))</f>
        <v>289</v>
      </c>
      <c r="Z27" s="15" t="n">
        <f aca="false">IF(Z$3&gt;ROUND(p_stop_det,0)+3,0,c_n_reg1*p_postreg/12*IF(Z$3&gt;=c_reg_m,1,0)+c_n_reg2*p_postreg/12*IF(Z$3&gt;=c_m2+c_rt,1,0))</f>
        <v>289</v>
      </c>
      <c r="AA27" s="15" t="n">
        <f aca="false">IF(AA$3&gt;ROUND(p_stop_det,0)+3,0,c_n_reg1*p_postreg/12*IF(AA$3&gt;=c_reg_m,1,0)+c_n_reg2*p_postreg/12*IF(AA$3&gt;=c_m2+c_rt,1,0))</f>
        <v>289</v>
      </c>
      <c r="AB27" s="15" t="n">
        <f aca="false">IF(AB$3&gt;ROUND(p_stop_det,0)+3,0,c_n_reg1*p_postreg/12*IF(AB$3&gt;=c_reg_m,1,0)+c_n_reg2*p_postreg/12*IF(AB$3&gt;=c_m2+c_rt,1,0))</f>
        <v>289</v>
      </c>
      <c r="AC27" s="15" t="n">
        <f aca="false">IF(AC$3&gt;ROUND(p_stop_det,0)+3,0,c_n_reg1*p_postreg/12*IF(AC$3&gt;=c_reg_m,1,0)+c_n_reg2*p_postreg/12*IF(AC$3&gt;=c_m2+c_rt,1,0))</f>
        <v>289</v>
      </c>
      <c r="AD27" s="15" t="n">
        <f aca="false">IF(AD$3&gt;ROUND(p_stop_det,0)+3,0,c_n_reg1*p_postreg/12*IF(AD$3&gt;=c_reg_m,1,0)+c_n_reg2*p_postreg/12*IF(AD$3&gt;=c_m2+c_rt,1,0))</f>
        <v>289</v>
      </c>
      <c r="AE27" s="15" t="n">
        <f aca="false">IF(AE$3&gt;ROUND(p_stop_det,0)+3,0,c_n_reg1*p_postreg/12*IF(AE$3&gt;=c_reg_m,1,0)+c_n_reg2*p_postreg/12*IF(AE$3&gt;=c_m2+c_rt,1,0))</f>
        <v>289</v>
      </c>
      <c r="AF27" s="15" t="n">
        <f aca="false">IF(AF$3&gt;ROUND(p_stop_det,0)+3,0,c_n_reg1*p_postreg/12*IF(AF$3&gt;=c_reg_m,1,0)+c_n_reg2*p_postreg/12*IF(AF$3&gt;=c_m2+c_rt,1,0))</f>
        <v>289</v>
      </c>
      <c r="AG27" s="15" t="n">
        <f aca="false">IF(AG$3&gt;ROUND(p_stop_det,0)+3,0,c_n_reg1*p_postreg/12*IF(AG$3&gt;=c_reg_m,1,0)+c_n_reg2*p_postreg/12*IF(AG$3&gt;=c_m2+c_rt,1,0))</f>
        <v>289</v>
      </c>
      <c r="AH27" s="15" t="n">
        <f aca="false">IF(AH$3&gt;ROUND(p_stop_det,0)+3,0,c_n_reg1*p_postreg/12*IF(AH$3&gt;=c_reg_m,1,0)+c_n_reg2*p_postreg/12*IF(AH$3&gt;=c_m2+c_rt,1,0))</f>
        <v>289</v>
      </c>
      <c r="AI27" s="15" t="n">
        <f aca="false">IF(AI$3&gt;ROUND(p_stop_det,0)+3,0,c_n_reg1*p_postreg/12*IF(AI$3&gt;=c_reg_m,1,0)+c_n_reg2*p_postreg/12*IF(AI$3&gt;=c_m2+c_rt,1,0))</f>
        <v>289</v>
      </c>
      <c r="AJ27" s="15" t="n">
        <f aca="false">IF(AJ$3&gt;ROUND(p_stop_det,0)+3,0,c_n_reg1*p_postreg/12*IF(AJ$3&gt;=c_reg_m,1,0)+c_n_reg2*p_postreg/12*IF(AJ$3&gt;=c_m2+c_rt,1,0))</f>
        <v>289</v>
      </c>
      <c r="AK27" s="15" t="n">
        <f aca="false">IF(AK$3&gt;ROUND(p_stop_det,0)+3,0,c_n_reg1*p_postreg/12*IF(AK$3&gt;=c_reg_m,1,0)+c_n_reg2*p_postreg/12*IF(AK$3&gt;=c_m2+c_rt,1,0))</f>
        <v>289</v>
      </c>
      <c r="AL27" s="15" t="n">
        <f aca="false">IF(AL$3&gt;ROUND(p_stop_det,0)+3,0,c_n_reg1*p_postreg/12*IF(AL$3&gt;=c_reg_m,1,0)+c_n_reg2*p_postreg/12*IF(AL$3&gt;=c_m2+c_rt,1,0))</f>
        <v>289</v>
      </c>
      <c r="AM27" s="15" t="n">
        <f aca="false">IF(AM$3&gt;ROUND(p_stop_det,0)+3,0,c_n_reg1*p_postreg/12*IF(AM$3&gt;=c_reg_m,1,0)+c_n_reg2*p_postreg/12*IF(AM$3&gt;=c_m2+c_rt,1,0))</f>
        <v>289</v>
      </c>
      <c r="AN27" s="15" t="n">
        <f aca="false">IF(AN$3&gt;ROUND(p_stop_det,0)+3,0,c_n_reg1*p_postreg/12*IF(AN$3&gt;=c_reg_m,1,0)+c_n_reg2*p_postreg/12*IF(AN$3&gt;=c_m2+c_rt,1,0))</f>
        <v>289</v>
      </c>
      <c r="AO27" s="15" t="n">
        <f aca="false">IF(AO$3&gt;ROUND(p_stop_det,0)+3,0,c_n_reg1*p_postreg/12*IF(AO$3&gt;=c_reg_m,1,0)+c_n_reg2*p_postreg/12*IF(AO$3&gt;=c_m2+c_rt,1,0))</f>
        <v>289</v>
      </c>
      <c r="AP27" s="15" t="n">
        <f aca="false">IF(AP$3&gt;ROUND(p_stop_det,0)+3,0,c_n_reg1*p_postreg/12*IF(AP$3&gt;=c_reg_m,1,0)+c_n_reg2*p_postreg/12*IF(AP$3&gt;=c_m2+c_rt,1,0))</f>
        <v>289</v>
      </c>
      <c r="AQ27" s="15" t="n">
        <f aca="false">IF(AQ$3&gt;ROUND(p_stop_det,0)+3,0,c_n_reg1*p_postreg/12*IF(AQ$3&gt;=c_reg_m,1,0)+c_n_reg2*p_postreg/12*IF(AQ$3&gt;=c_m2+c_rt,1,0))</f>
        <v>289</v>
      </c>
      <c r="AR27" s="15" t="n">
        <f aca="false">IF(AR$3&gt;ROUND(p_stop_det,0)+3,0,c_n_reg1*p_postreg/12*IF(AR$3&gt;=c_reg_m,1,0)+c_n_reg2*p_postreg/12*IF(AR$3&gt;=c_m2+c_rt,1,0))</f>
        <v>289</v>
      </c>
      <c r="AS27" s="15" t="n">
        <f aca="false">IF(AS$3&gt;ROUND(p_stop_det,0)+3,0,c_n_reg1*p_postreg/12*IF(AS$3&gt;=c_reg_m,1,0)+c_n_reg2*p_postreg/12*IF(AS$3&gt;=c_m2+c_rt,1,0))</f>
        <v>289</v>
      </c>
      <c r="AT27" s="15" t="n">
        <f aca="false">IF(AT$3&gt;ROUND(p_stop_det,0)+3,0,c_n_reg1*p_postreg/12*IF(AT$3&gt;=c_reg_m,1,0)+c_n_reg2*p_postreg/12*IF(AT$3&gt;=c_m2+c_rt,1,0))</f>
        <v>289</v>
      </c>
      <c r="AU27" s="15" t="n">
        <f aca="false">IF(AU$3&gt;ROUND(p_stop_det,0)+3,0,c_n_reg1*p_postreg/12*IF(AU$3&gt;=c_reg_m,1,0)+c_n_reg2*p_postreg/12*IF(AU$3&gt;=c_m2+c_rt,1,0))</f>
        <v>289</v>
      </c>
      <c r="AV27" s="15" t="n">
        <f aca="false">IF(AV$3&gt;ROUND(p_stop_det,0)+3,0,c_n_reg1*p_postreg/12*IF(AV$3&gt;=c_reg_m,1,0)+c_n_reg2*p_postreg/12*IF(AV$3&gt;=c_m2+c_rt,1,0))</f>
        <v>289</v>
      </c>
      <c r="AW27" s="15" t="n">
        <f aca="false">IF(AW$3&gt;ROUND(p_stop_det,0)+3,0,c_n_reg1*p_postreg/12*IF(AW$3&gt;=c_reg_m,1,0)+c_n_reg2*p_postreg/12*IF(AW$3&gt;=c_m2+c_rt,1,0))</f>
        <v>289</v>
      </c>
      <c r="AX27" s="15" t="n">
        <f aca="false">IF(AX$3&gt;ROUND(p_stop_det,0)+3,0,c_n_reg1*p_postreg/12*IF(AX$3&gt;=c_reg_m,1,0)+c_n_reg2*p_postreg/12*IF(AX$3&gt;=c_m2+c_rt,1,0))</f>
        <v>289</v>
      </c>
      <c r="AY27" s="15" t="n">
        <f aca="false">IF(AY$3&gt;ROUND(p_stop_det,0)+3,0,c_n_reg1*p_postreg/12*IF(AY$3&gt;=c_reg_m,1,0)+c_n_reg2*p_postreg/12*IF(AY$3&gt;=c_m2+c_rt,1,0))</f>
        <v>289</v>
      </c>
      <c r="AZ27" s="15" t="n">
        <f aca="false">IF(AZ$3&gt;ROUND(p_stop_det,0)+3,0,c_n_reg1*p_postreg/12*IF(AZ$3&gt;=c_reg_m,1,0)+c_n_reg2*p_postreg/12*IF(AZ$3&gt;=c_m2+c_rt,1,0))</f>
        <v>289</v>
      </c>
      <c r="BA27" s="15" t="n">
        <f aca="false">IF(BA$3&gt;ROUND(p_stop_det,0)+3,0,c_n_reg1*p_postreg/12*IF(BA$3&gt;=c_reg_m,1,0)+c_n_reg2*p_postreg/12*IF(BA$3&gt;=c_m2+c_rt,1,0))</f>
        <v>289</v>
      </c>
      <c r="BB27" s="15" t="n">
        <f aca="false">IF(BB$3&gt;ROUND(p_stop_det,0)+3,0,c_n_reg1*p_postreg/12*IF(BB$3&gt;=c_reg_m,1,0)+c_n_reg2*p_postreg/12*IF(BB$3&gt;=c_m2+c_rt,1,0))</f>
        <v>289</v>
      </c>
      <c r="BC27" s="15" t="n">
        <f aca="false">IF(BC$3&gt;ROUND(p_stop_det,0)+3,0,c_n_reg1*p_postreg/12*IF(BC$3&gt;=c_reg_m,1,0)+c_n_reg2*p_postreg/12*IF(BC$3&gt;=c_m2+c_rt,1,0))</f>
        <v>289</v>
      </c>
      <c r="BD27" s="15" t="n">
        <f aca="false">IF(BD$3&gt;ROUND(p_stop_det,0)+3,0,c_n_reg1*p_postreg/12*IF(BD$3&gt;=c_reg_m,1,0)+c_n_reg2*p_postreg/12*IF(BD$3&gt;=c_m2+c_rt,1,0))</f>
        <v>289</v>
      </c>
      <c r="BE27" s="15" t="n">
        <f aca="false">IF(BE$3&gt;ROUND(p_stop_det,0)+3,0,c_n_reg1*p_postreg/12*IF(BE$3&gt;=c_reg_m,1,0)+c_n_reg2*p_postreg/12*IF(BE$3&gt;=c_m2+c_rt,1,0))</f>
        <v>289</v>
      </c>
      <c r="BF27" s="15" t="n">
        <f aca="false">IF(BF$3&gt;ROUND(p_stop_det,0)+3,0,c_n_reg1*p_postreg/12*IF(BF$3&gt;=c_reg_m,1,0)+c_n_reg2*p_postreg/12*IF(BF$3&gt;=c_m2+c_rt,1,0))</f>
        <v>289</v>
      </c>
      <c r="BG27" s="15" t="n">
        <f aca="false">IF(BG$3&gt;ROUND(p_stop_det,0)+3,0,c_n_reg1*p_postreg/12*IF(BG$3&gt;=c_reg_m,1,0)+c_n_reg2*p_postreg/12*IF(BG$3&gt;=c_m2+c_rt,1,0))</f>
        <v>289</v>
      </c>
      <c r="BH27" s="15" t="n">
        <f aca="false">IF(BH$3&gt;ROUND(p_stop_det,0)+3,0,c_n_reg1*p_postreg/12*IF(BH$3&gt;=c_reg_m,1,0)+c_n_reg2*p_postreg/12*IF(BH$3&gt;=c_m2+c_rt,1,0))</f>
        <v>289</v>
      </c>
      <c r="BI27" s="15" t="n">
        <f aca="false">IF(BI$3&gt;ROUND(p_stop_det,0)+3,0,c_n_reg1*p_postreg/12*IF(BI$3&gt;=c_reg_m,1,0)+c_n_reg2*p_postreg/12*IF(BI$3&gt;=c_m2+c_rt,1,0))</f>
        <v>289</v>
      </c>
      <c r="BJ27" s="15" t="n">
        <f aca="false">IF(BJ$3&gt;ROUND(p_stop_det,0)+3,0,c_n_reg1*p_postreg/12*IF(BJ$3&gt;=c_reg_m,1,0)+c_n_reg2*p_postreg/12*IF(BJ$3&gt;=c_m2+c_rt,1,0))</f>
        <v>289</v>
      </c>
      <c r="BK27" s="15" t="n">
        <f aca="false">IF(BK$3&gt;ROUND(p_stop_det,0)+3,0,c_n_reg1*p_postreg/12*IF(BK$3&gt;=c_reg_m,1,0)+c_n_reg2*p_postreg/12*IF(BK$3&gt;=c_m2+c_rt,1,0))</f>
        <v>289</v>
      </c>
    </row>
    <row r="28" customFormat="false" ht="15" hidden="false" customHeight="true" outlineLevel="0" collapsed="false">
      <c r="A28" s="10" t="s">
        <v>448</v>
      </c>
      <c r="D28" s="15" t="n">
        <f aca="false">SUMIF(u_month,D$3,u_used)</f>
        <v>6366.5</v>
      </c>
      <c r="E28" s="15" t="n">
        <f aca="false">SUMIF(u_month,E$3,u_used)</f>
        <v>4280</v>
      </c>
      <c r="F28" s="15" t="n">
        <f aca="false">SUMIF(u_month,F$3,u_used)</f>
        <v>421</v>
      </c>
      <c r="G28" s="15" t="n">
        <f aca="false">SUMIF(u_month,G$3,u_used)</f>
        <v>535</v>
      </c>
      <c r="H28" s="15" t="n">
        <f aca="false">SUMIF(u_month,H$3,u_used)</f>
        <v>0</v>
      </c>
      <c r="I28" s="15" t="n">
        <f aca="false">SUMIF(u_month,I$3,u_used)</f>
        <v>0</v>
      </c>
      <c r="J28" s="15" t="n">
        <f aca="false">SUMIF(u_month,J$3,u_used)</f>
        <v>0</v>
      </c>
      <c r="K28" s="15" t="n">
        <f aca="false">SUMIF(u_month,K$3,u_used)</f>
        <v>0</v>
      </c>
      <c r="L28" s="15" t="n">
        <f aca="false">SUMIF(u_month,L$3,u_used)</f>
        <v>0</v>
      </c>
      <c r="M28" s="15" t="n">
        <f aca="false">SUMIF(u_month,M$3,u_used)</f>
        <v>0</v>
      </c>
      <c r="N28" s="15" t="n">
        <f aca="false">SUMIF(u_month,N$3,u_used)</f>
        <v>0</v>
      </c>
      <c r="O28" s="15" t="n">
        <f aca="false">SUMIF(u_month,O$3,u_used)</f>
        <v>0</v>
      </c>
      <c r="P28" s="15" t="n">
        <f aca="false">SUMIF(u_month,P$3,u_used)</f>
        <v>0</v>
      </c>
      <c r="Q28" s="15" t="n">
        <f aca="false">SUMIF(u_month,Q$3,u_used)</f>
        <v>0</v>
      </c>
      <c r="R28" s="15" t="n">
        <f aca="false">SUMIF(u_month,R$3,u_used)</f>
        <v>0</v>
      </c>
      <c r="S28" s="15" t="n">
        <f aca="false">SUMIF(u_month,S$3,u_used)</f>
        <v>0</v>
      </c>
      <c r="T28" s="15" t="n">
        <f aca="false">SUMIF(u_month,T$3,u_used)</f>
        <v>0</v>
      </c>
      <c r="U28" s="15" t="n">
        <f aca="false">SUMIF(u_month,U$3,u_used)</f>
        <v>0</v>
      </c>
      <c r="V28" s="15" t="n">
        <f aca="false">SUMIF(u_month,V$3,u_used)</f>
        <v>0</v>
      </c>
      <c r="W28" s="15" t="n">
        <f aca="false">SUMIF(u_month,W$3,u_used)</f>
        <v>0</v>
      </c>
      <c r="X28" s="15" t="n">
        <f aca="false">SUMIF(u_month,X$3,u_used)</f>
        <v>0</v>
      </c>
      <c r="Y28" s="15" t="n">
        <f aca="false">SUMIF(u_month,Y$3,u_used)</f>
        <v>0</v>
      </c>
      <c r="Z28" s="15" t="n">
        <f aca="false">SUMIF(u_month,Z$3,u_used)</f>
        <v>0</v>
      </c>
      <c r="AA28" s="15" t="n">
        <f aca="false">SUMIF(u_month,AA$3,u_used)</f>
        <v>0</v>
      </c>
      <c r="AB28" s="15" t="n">
        <f aca="false">SUMIF(u_month,AB$3,u_used)</f>
        <v>0</v>
      </c>
      <c r="AC28" s="15" t="n">
        <f aca="false">SUMIF(u_month,AC$3,u_used)</f>
        <v>0</v>
      </c>
      <c r="AD28" s="15" t="n">
        <f aca="false">SUMIF(u_month,AD$3,u_used)</f>
        <v>0</v>
      </c>
      <c r="AE28" s="15" t="n">
        <f aca="false">SUMIF(u_month,AE$3,u_used)</f>
        <v>0</v>
      </c>
      <c r="AF28" s="15" t="n">
        <f aca="false">SUMIF(u_month,AF$3,u_used)</f>
        <v>0</v>
      </c>
      <c r="AG28" s="15" t="n">
        <f aca="false">SUMIF(u_month,AG$3,u_used)</f>
        <v>0</v>
      </c>
      <c r="AH28" s="15" t="n">
        <f aca="false">SUMIF(u_month,AH$3,u_used)</f>
        <v>0</v>
      </c>
      <c r="AI28" s="15" t="n">
        <f aca="false">SUMIF(u_month,AI$3,u_used)</f>
        <v>0</v>
      </c>
      <c r="AJ28" s="15" t="n">
        <f aca="false">SUMIF(u_month,AJ$3,u_used)</f>
        <v>0</v>
      </c>
      <c r="AK28" s="15" t="n">
        <f aca="false">SUMIF(u_month,AK$3,u_used)</f>
        <v>0</v>
      </c>
      <c r="AL28" s="15" t="n">
        <f aca="false">SUMIF(u_month,AL$3,u_used)</f>
        <v>0</v>
      </c>
      <c r="AM28" s="15" t="n">
        <f aca="false">SUMIF(u_month,AM$3,u_used)</f>
        <v>0</v>
      </c>
      <c r="AN28" s="15" t="n">
        <f aca="false">SUMIF(u_month,AN$3,u_used)</f>
        <v>0</v>
      </c>
      <c r="AO28" s="15" t="n">
        <f aca="false">SUMIF(u_month,AO$3,u_used)</f>
        <v>0</v>
      </c>
      <c r="AP28" s="15" t="n">
        <f aca="false">SUMIF(u_month,AP$3,u_used)</f>
        <v>0</v>
      </c>
      <c r="AQ28" s="15" t="n">
        <f aca="false">SUMIF(u_month,AQ$3,u_used)</f>
        <v>0</v>
      </c>
      <c r="AR28" s="15" t="n">
        <f aca="false">SUMIF(u_month,AR$3,u_used)</f>
        <v>0</v>
      </c>
      <c r="AS28" s="15" t="n">
        <f aca="false">SUMIF(u_month,AS$3,u_used)</f>
        <v>0</v>
      </c>
      <c r="AT28" s="15" t="n">
        <f aca="false">SUMIF(u_month,AT$3,u_used)</f>
        <v>0</v>
      </c>
      <c r="AU28" s="15" t="n">
        <f aca="false">SUMIF(u_month,AU$3,u_used)</f>
        <v>0</v>
      </c>
      <c r="AV28" s="15" t="n">
        <f aca="false">SUMIF(u_month,AV$3,u_used)</f>
        <v>0</v>
      </c>
      <c r="AW28" s="15" t="n">
        <f aca="false">SUMIF(u_month,AW$3,u_used)</f>
        <v>0</v>
      </c>
      <c r="AX28" s="15" t="n">
        <f aca="false">SUMIF(u_month,AX$3,u_used)</f>
        <v>0</v>
      </c>
      <c r="AY28" s="15" t="n">
        <f aca="false">SUMIF(u_month,AY$3,u_used)</f>
        <v>0</v>
      </c>
      <c r="AZ28" s="15" t="n">
        <f aca="false">SUMIF(u_month,AZ$3,u_used)</f>
        <v>0</v>
      </c>
      <c r="BA28" s="15" t="n">
        <f aca="false">SUMIF(u_month,BA$3,u_used)</f>
        <v>0</v>
      </c>
      <c r="BB28" s="15" t="n">
        <f aca="false">SUMIF(u_month,BB$3,u_used)</f>
        <v>0</v>
      </c>
      <c r="BC28" s="15" t="n">
        <f aca="false">SUMIF(u_month,BC$3,u_used)</f>
        <v>0</v>
      </c>
      <c r="BD28" s="15" t="n">
        <f aca="false">SUMIF(u_month,BD$3,u_used)</f>
        <v>0</v>
      </c>
      <c r="BE28" s="15" t="n">
        <f aca="false">SUMIF(u_month,BE$3,u_used)</f>
        <v>0</v>
      </c>
      <c r="BF28" s="15" t="n">
        <f aca="false">SUMIF(u_month,BF$3,u_used)</f>
        <v>0</v>
      </c>
      <c r="BG28" s="15" t="n">
        <f aca="false">SUMIF(u_month,BG$3,u_used)</f>
        <v>0</v>
      </c>
      <c r="BH28" s="15" t="n">
        <f aca="false">SUMIF(u_month,BH$3,u_used)</f>
        <v>0</v>
      </c>
      <c r="BI28" s="15" t="n">
        <f aca="false">SUMIF(u_month,BI$3,u_used)</f>
        <v>0</v>
      </c>
      <c r="BJ28" s="15" t="n">
        <f aca="false">SUMIF(u_month,BJ$3,u_used)</f>
        <v>0</v>
      </c>
      <c r="BK28" s="15" t="n">
        <f aca="false">SUMIF(u_month,BK$3,u_used)</f>
        <v>0</v>
      </c>
    </row>
    <row r="29" customFormat="false" ht="15" hidden="false" customHeight="true" outlineLevel="0" collapsed="false">
      <c r="A29" s="10" t="s">
        <v>449</v>
      </c>
      <c r="D29" s="15" t="n">
        <f aca="false">IF(D$3=c_rs_pay_m,SUM(SKUs!$D$6:$D$24)*c_rs_unit,0)+IF(D$3=MAX(1,MIN(60,c_m2)),p_n2*c_rs_unit,0)</f>
        <v>0</v>
      </c>
      <c r="E29" s="15" t="n">
        <f aca="false">IF(E$3=c_rs_pay_m,SUM(SKUs!$D$6:$D$24)*c_rs_unit,0)+IF(E$3=MAX(1,MIN(60,c_m2)),p_n2*c_rs_unit,0)</f>
        <v>0</v>
      </c>
      <c r="F29" s="15" t="n">
        <f aca="false">IF(F$3=c_rs_pay_m,SUM(SKUs!$D$6:$D$24)*c_rs_unit,0)+IF(F$3=MAX(1,MIN(60,c_m2)),p_n2*c_rs_unit,0)</f>
        <v>23936</v>
      </c>
      <c r="G29" s="15" t="n">
        <f aca="false">IF(G$3=c_rs_pay_m,SUM(SKUs!$D$6:$D$24)*c_rs_unit,0)+IF(G$3=MAX(1,MIN(60,c_m2)),p_n2*c_rs_unit,0)</f>
        <v>0</v>
      </c>
      <c r="H29" s="15" t="n">
        <f aca="false">IF(H$3=c_rs_pay_m,SUM(SKUs!$D$6:$D$24)*c_rs_unit,0)+IF(H$3=MAX(1,MIN(60,c_m2)),p_n2*c_rs_unit,0)</f>
        <v>0</v>
      </c>
      <c r="I29" s="15" t="n">
        <f aca="false">IF(I$3=c_rs_pay_m,SUM(SKUs!$D$6:$D$24)*c_rs_unit,0)+IF(I$3=MAX(1,MIN(60,c_m2)),p_n2*c_rs_unit,0)</f>
        <v>0</v>
      </c>
      <c r="J29" s="15" t="n">
        <f aca="false">IF(J$3=c_rs_pay_m,SUM(SKUs!$D$6:$D$24)*c_rs_unit,0)+IF(J$3=MAX(1,MIN(60,c_m2)),p_n2*c_rs_unit,0)</f>
        <v>0</v>
      </c>
      <c r="K29" s="15" t="n">
        <f aca="false">IF(K$3=c_rs_pay_m,SUM(SKUs!$D$6:$D$24)*c_rs_unit,0)+IF(K$3=MAX(1,MIN(60,c_m2)),p_n2*c_rs_unit,0)</f>
        <v>0</v>
      </c>
      <c r="L29" s="15" t="n">
        <f aca="false">IF(L$3=c_rs_pay_m,SUM(SKUs!$D$6:$D$24)*c_rs_unit,0)+IF(L$3=MAX(1,MIN(60,c_m2)),p_n2*c_rs_unit,0)</f>
        <v>0</v>
      </c>
      <c r="M29" s="15" t="n">
        <f aca="false">IF(M$3=c_rs_pay_m,SUM(SKUs!$D$6:$D$24)*c_rs_unit,0)+IF(M$3=MAX(1,MIN(60,c_m2)),p_n2*c_rs_unit,0)</f>
        <v>0</v>
      </c>
      <c r="N29" s="15" t="n">
        <f aca="false">IF(N$3=c_rs_pay_m,SUM(SKUs!$D$6:$D$24)*c_rs_unit,0)+IF(N$3=MAX(1,MIN(60,c_m2)),p_n2*c_rs_unit,0)</f>
        <v>0</v>
      </c>
      <c r="O29" s="15" t="n">
        <f aca="false">IF(O$3=c_rs_pay_m,SUM(SKUs!$D$6:$D$24)*c_rs_unit,0)+IF(O$3=MAX(1,MIN(60,c_m2)),p_n2*c_rs_unit,0)</f>
        <v>0</v>
      </c>
      <c r="P29" s="15" t="n">
        <f aca="false">IF(P$3=c_rs_pay_m,SUM(SKUs!$D$6:$D$24)*c_rs_unit,0)+IF(P$3=MAX(1,MIN(60,c_m2)),p_n2*c_rs_unit,0)</f>
        <v>0</v>
      </c>
      <c r="Q29" s="15" t="n">
        <f aca="false">IF(Q$3=c_rs_pay_m,SUM(SKUs!$D$6:$D$24)*c_rs_unit,0)+IF(Q$3=MAX(1,MIN(60,c_m2)),p_n2*c_rs_unit,0)</f>
        <v>0</v>
      </c>
      <c r="R29" s="15" t="n">
        <f aca="false">IF(R$3=c_rs_pay_m,SUM(SKUs!$D$6:$D$24)*c_rs_unit,0)+IF(R$3=MAX(1,MIN(60,c_m2)),p_n2*c_rs_unit,0)</f>
        <v>0</v>
      </c>
      <c r="S29" s="15" t="n">
        <f aca="false">IF(S$3=c_rs_pay_m,SUM(SKUs!$D$6:$D$24)*c_rs_unit,0)+IF(S$3=MAX(1,MIN(60,c_m2)),p_n2*c_rs_unit,0)</f>
        <v>0</v>
      </c>
      <c r="T29" s="15" t="n">
        <f aca="false">IF(T$3=c_rs_pay_m,SUM(SKUs!$D$6:$D$24)*c_rs_unit,0)+IF(T$3=MAX(1,MIN(60,c_m2)),p_n2*c_rs_unit,0)</f>
        <v>0</v>
      </c>
      <c r="U29" s="15" t="n">
        <f aca="false">IF(U$3=c_rs_pay_m,SUM(SKUs!$D$6:$D$24)*c_rs_unit,0)+IF(U$3=MAX(1,MIN(60,c_m2)),p_n2*c_rs_unit,0)</f>
        <v>13056</v>
      </c>
      <c r="V29" s="15" t="n">
        <f aca="false">IF(V$3=c_rs_pay_m,SUM(SKUs!$D$6:$D$24)*c_rs_unit,0)+IF(V$3=MAX(1,MIN(60,c_m2)),p_n2*c_rs_unit,0)</f>
        <v>0</v>
      </c>
      <c r="W29" s="15" t="n">
        <f aca="false">IF(W$3=c_rs_pay_m,SUM(SKUs!$D$6:$D$24)*c_rs_unit,0)+IF(W$3=MAX(1,MIN(60,c_m2)),p_n2*c_rs_unit,0)</f>
        <v>0</v>
      </c>
      <c r="X29" s="15" t="n">
        <f aca="false">IF(X$3=c_rs_pay_m,SUM(SKUs!$D$6:$D$24)*c_rs_unit,0)+IF(X$3=MAX(1,MIN(60,c_m2)),p_n2*c_rs_unit,0)</f>
        <v>0</v>
      </c>
      <c r="Y29" s="15" t="n">
        <f aca="false">IF(Y$3=c_rs_pay_m,SUM(SKUs!$D$6:$D$24)*c_rs_unit,0)+IF(Y$3=MAX(1,MIN(60,c_m2)),p_n2*c_rs_unit,0)</f>
        <v>0</v>
      </c>
      <c r="Z29" s="15" t="n">
        <f aca="false">IF(Z$3=c_rs_pay_m,SUM(SKUs!$D$6:$D$24)*c_rs_unit,0)+IF(Z$3=MAX(1,MIN(60,c_m2)),p_n2*c_rs_unit,0)</f>
        <v>0</v>
      </c>
      <c r="AA29" s="15" t="n">
        <f aca="false">IF(AA$3=c_rs_pay_m,SUM(SKUs!$D$6:$D$24)*c_rs_unit,0)+IF(AA$3=MAX(1,MIN(60,c_m2)),p_n2*c_rs_unit,0)</f>
        <v>0</v>
      </c>
      <c r="AB29" s="15" t="n">
        <f aca="false">IF(AB$3=c_rs_pay_m,SUM(SKUs!$D$6:$D$24)*c_rs_unit,0)+IF(AB$3=MAX(1,MIN(60,c_m2)),p_n2*c_rs_unit,0)</f>
        <v>0</v>
      </c>
      <c r="AC29" s="15" t="n">
        <f aca="false">IF(AC$3=c_rs_pay_m,SUM(SKUs!$D$6:$D$24)*c_rs_unit,0)+IF(AC$3=MAX(1,MIN(60,c_m2)),p_n2*c_rs_unit,0)</f>
        <v>0</v>
      </c>
      <c r="AD29" s="15" t="n">
        <f aca="false">IF(AD$3=c_rs_pay_m,SUM(SKUs!$D$6:$D$24)*c_rs_unit,0)+IF(AD$3=MAX(1,MIN(60,c_m2)),p_n2*c_rs_unit,0)</f>
        <v>0</v>
      </c>
      <c r="AE29" s="15" t="n">
        <f aca="false">IF(AE$3=c_rs_pay_m,SUM(SKUs!$D$6:$D$24)*c_rs_unit,0)+IF(AE$3=MAX(1,MIN(60,c_m2)),p_n2*c_rs_unit,0)</f>
        <v>0</v>
      </c>
      <c r="AF29" s="15" t="n">
        <f aca="false">IF(AF$3=c_rs_pay_m,SUM(SKUs!$D$6:$D$24)*c_rs_unit,0)+IF(AF$3=MAX(1,MIN(60,c_m2)),p_n2*c_rs_unit,0)</f>
        <v>0</v>
      </c>
      <c r="AG29" s="15" t="n">
        <f aca="false">IF(AG$3=c_rs_pay_m,SUM(SKUs!$D$6:$D$24)*c_rs_unit,0)+IF(AG$3=MAX(1,MIN(60,c_m2)),p_n2*c_rs_unit,0)</f>
        <v>0</v>
      </c>
      <c r="AH29" s="15" t="n">
        <f aca="false">IF(AH$3=c_rs_pay_m,SUM(SKUs!$D$6:$D$24)*c_rs_unit,0)+IF(AH$3=MAX(1,MIN(60,c_m2)),p_n2*c_rs_unit,0)</f>
        <v>0</v>
      </c>
      <c r="AI29" s="15" t="n">
        <f aca="false">IF(AI$3=c_rs_pay_m,SUM(SKUs!$D$6:$D$24)*c_rs_unit,0)+IF(AI$3=MAX(1,MIN(60,c_m2)),p_n2*c_rs_unit,0)</f>
        <v>0</v>
      </c>
      <c r="AJ29" s="15" t="n">
        <f aca="false">IF(AJ$3=c_rs_pay_m,SUM(SKUs!$D$6:$D$24)*c_rs_unit,0)+IF(AJ$3=MAX(1,MIN(60,c_m2)),p_n2*c_rs_unit,0)</f>
        <v>0</v>
      </c>
      <c r="AK29" s="15" t="n">
        <f aca="false">IF(AK$3=c_rs_pay_m,SUM(SKUs!$D$6:$D$24)*c_rs_unit,0)+IF(AK$3=MAX(1,MIN(60,c_m2)),p_n2*c_rs_unit,0)</f>
        <v>0</v>
      </c>
      <c r="AL29" s="15" t="n">
        <f aca="false">IF(AL$3=c_rs_pay_m,SUM(SKUs!$D$6:$D$24)*c_rs_unit,0)+IF(AL$3=MAX(1,MIN(60,c_m2)),p_n2*c_rs_unit,0)</f>
        <v>0</v>
      </c>
      <c r="AM29" s="15" t="n">
        <f aca="false">IF(AM$3=c_rs_pay_m,SUM(SKUs!$D$6:$D$24)*c_rs_unit,0)+IF(AM$3=MAX(1,MIN(60,c_m2)),p_n2*c_rs_unit,0)</f>
        <v>0</v>
      </c>
      <c r="AN29" s="15" t="n">
        <f aca="false">IF(AN$3=c_rs_pay_m,SUM(SKUs!$D$6:$D$24)*c_rs_unit,0)+IF(AN$3=MAX(1,MIN(60,c_m2)),p_n2*c_rs_unit,0)</f>
        <v>0</v>
      </c>
      <c r="AO29" s="15" t="n">
        <f aca="false">IF(AO$3=c_rs_pay_m,SUM(SKUs!$D$6:$D$24)*c_rs_unit,0)+IF(AO$3=MAX(1,MIN(60,c_m2)),p_n2*c_rs_unit,0)</f>
        <v>0</v>
      </c>
      <c r="AP29" s="15" t="n">
        <f aca="false">IF(AP$3=c_rs_pay_m,SUM(SKUs!$D$6:$D$24)*c_rs_unit,0)+IF(AP$3=MAX(1,MIN(60,c_m2)),p_n2*c_rs_unit,0)</f>
        <v>0</v>
      </c>
      <c r="AQ29" s="15" t="n">
        <f aca="false">IF(AQ$3=c_rs_pay_m,SUM(SKUs!$D$6:$D$24)*c_rs_unit,0)+IF(AQ$3=MAX(1,MIN(60,c_m2)),p_n2*c_rs_unit,0)</f>
        <v>0</v>
      </c>
      <c r="AR29" s="15" t="n">
        <f aca="false">IF(AR$3=c_rs_pay_m,SUM(SKUs!$D$6:$D$24)*c_rs_unit,0)+IF(AR$3=MAX(1,MIN(60,c_m2)),p_n2*c_rs_unit,0)</f>
        <v>0</v>
      </c>
      <c r="AS29" s="15" t="n">
        <f aca="false">IF(AS$3=c_rs_pay_m,SUM(SKUs!$D$6:$D$24)*c_rs_unit,0)+IF(AS$3=MAX(1,MIN(60,c_m2)),p_n2*c_rs_unit,0)</f>
        <v>0</v>
      </c>
      <c r="AT29" s="15" t="n">
        <f aca="false">IF(AT$3=c_rs_pay_m,SUM(SKUs!$D$6:$D$24)*c_rs_unit,0)+IF(AT$3=MAX(1,MIN(60,c_m2)),p_n2*c_rs_unit,0)</f>
        <v>0</v>
      </c>
      <c r="AU29" s="15" t="n">
        <f aca="false">IF(AU$3=c_rs_pay_m,SUM(SKUs!$D$6:$D$24)*c_rs_unit,0)+IF(AU$3=MAX(1,MIN(60,c_m2)),p_n2*c_rs_unit,0)</f>
        <v>0</v>
      </c>
      <c r="AV29" s="15" t="n">
        <f aca="false">IF(AV$3=c_rs_pay_m,SUM(SKUs!$D$6:$D$24)*c_rs_unit,0)+IF(AV$3=MAX(1,MIN(60,c_m2)),p_n2*c_rs_unit,0)</f>
        <v>0</v>
      </c>
      <c r="AW29" s="15" t="n">
        <f aca="false">IF(AW$3=c_rs_pay_m,SUM(SKUs!$D$6:$D$24)*c_rs_unit,0)+IF(AW$3=MAX(1,MIN(60,c_m2)),p_n2*c_rs_unit,0)</f>
        <v>0</v>
      </c>
      <c r="AX29" s="15" t="n">
        <f aca="false">IF(AX$3=c_rs_pay_m,SUM(SKUs!$D$6:$D$24)*c_rs_unit,0)+IF(AX$3=MAX(1,MIN(60,c_m2)),p_n2*c_rs_unit,0)</f>
        <v>0</v>
      </c>
      <c r="AY29" s="15" t="n">
        <f aca="false">IF(AY$3=c_rs_pay_m,SUM(SKUs!$D$6:$D$24)*c_rs_unit,0)+IF(AY$3=MAX(1,MIN(60,c_m2)),p_n2*c_rs_unit,0)</f>
        <v>0</v>
      </c>
      <c r="AZ29" s="15" t="n">
        <f aca="false">IF(AZ$3=c_rs_pay_m,SUM(SKUs!$D$6:$D$24)*c_rs_unit,0)+IF(AZ$3=MAX(1,MIN(60,c_m2)),p_n2*c_rs_unit,0)</f>
        <v>0</v>
      </c>
      <c r="BA29" s="15" t="n">
        <f aca="false">IF(BA$3=c_rs_pay_m,SUM(SKUs!$D$6:$D$24)*c_rs_unit,0)+IF(BA$3=MAX(1,MIN(60,c_m2)),p_n2*c_rs_unit,0)</f>
        <v>0</v>
      </c>
      <c r="BB29" s="15" t="n">
        <f aca="false">IF(BB$3=c_rs_pay_m,SUM(SKUs!$D$6:$D$24)*c_rs_unit,0)+IF(BB$3=MAX(1,MIN(60,c_m2)),p_n2*c_rs_unit,0)</f>
        <v>0</v>
      </c>
      <c r="BC29" s="15" t="n">
        <f aca="false">IF(BC$3=c_rs_pay_m,SUM(SKUs!$D$6:$D$24)*c_rs_unit,0)+IF(BC$3=MAX(1,MIN(60,c_m2)),p_n2*c_rs_unit,0)</f>
        <v>0</v>
      </c>
      <c r="BD29" s="15" t="n">
        <f aca="false">IF(BD$3=c_rs_pay_m,SUM(SKUs!$D$6:$D$24)*c_rs_unit,0)+IF(BD$3=MAX(1,MIN(60,c_m2)),p_n2*c_rs_unit,0)</f>
        <v>0</v>
      </c>
      <c r="BE29" s="15" t="n">
        <f aca="false">IF(BE$3=c_rs_pay_m,SUM(SKUs!$D$6:$D$24)*c_rs_unit,0)+IF(BE$3=MAX(1,MIN(60,c_m2)),p_n2*c_rs_unit,0)</f>
        <v>0</v>
      </c>
      <c r="BF29" s="15" t="n">
        <f aca="false">IF(BF$3=c_rs_pay_m,SUM(SKUs!$D$6:$D$24)*c_rs_unit,0)+IF(BF$3=MAX(1,MIN(60,c_m2)),p_n2*c_rs_unit,0)</f>
        <v>0</v>
      </c>
      <c r="BG29" s="15" t="n">
        <f aca="false">IF(BG$3=c_rs_pay_m,SUM(SKUs!$D$6:$D$24)*c_rs_unit,0)+IF(BG$3=MAX(1,MIN(60,c_m2)),p_n2*c_rs_unit,0)</f>
        <v>0</v>
      </c>
      <c r="BH29" s="15" t="n">
        <f aca="false">IF(BH$3=c_rs_pay_m,SUM(SKUs!$D$6:$D$24)*c_rs_unit,0)+IF(BH$3=MAX(1,MIN(60,c_m2)),p_n2*c_rs_unit,0)</f>
        <v>0</v>
      </c>
      <c r="BI29" s="15" t="n">
        <f aca="false">IF(BI$3=c_rs_pay_m,SUM(SKUs!$D$6:$D$24)*c_rs_unit,0)+IF(BI$3=MAX(1,MIN(60,c_m2)),p_n2*c_rs_unit,0)</f>
        <v>0</v>
      </c>
      <c r="BJ29" s="15" t="n">
        <f aca="false">IF(BJ$3=c_rs_pay_m,SUM(SKUs!$D$6:$D$24)*c_rs_unit,0)+IF(BJ$3=MAX(1,MIN(60,c_m2)),p_n2*c_rs_unit,0)</f>
        <v>0</v>
      </c>
      <c r="BK29" s="15" t="n">
        <f aca="false">IF(BK$3=c_rs_pay_m,SUM(SKUs!$D$6:$D$24)*c_rs_unit,0)+IF(BK$3=MAX(1,MIN(60,c_m2)),p_n2*c_rs_unit,0)</f>
        <v>0</v>
      </c>
    </row>
    <row r="30" customFormat="false" ht="15" hidden="false" customHeight="true" outlineLevel="0" collapsed="false">
      <c r="A30" s="10" t="s">
        <v>450</v>
      </c>
      <c r="D30" s="15" t="n">
        <f aca="false">IF(D$3&gt;ROUND(p_stop_det,0)+3,0,IF(OR(D$3=1,D$3=13,D$3=25,D$3=37,D$3=49),c_annual,0))</f>
        <v>567.5</v>
      </c>
      <c r="E30" s="15" t="n">
        <f aca="false">IF(E$3&gt;ROUND(p_stop_det,0)+3,0,IF(OR(E$3=1,E$3=13,E$3=25,E$3=37,E$3=49),c_annual,0))</f>
        <v>0</v>
      </c>
      <c r="F30" s="15" t="n">
        <f aca="false">IF(F$3&gt;ROUND(p_stop_det,0)+3,0,IF(OR(F$3=1,F$3=13,F$3=25,F$3=37,F$3=49),c_annual,0))</f>
        <v>0</v>
      </c>
      <c r="G30" s="15" t="n">
        <f aca="false">IF(G$3&gt;ROUND(p_stop_det,0)+3,0,IF(OR(G$3=1,G$3=13,G$3=25,G$3=37,G$3=49),c_annual,0))</f>
        <v>0</v>
      </c>
      <c r="H30" s="15" t="n">
        <f aca="false">IF(H$3&gt;ROUND(p_stop_det,0)+3,0,IF(OR(H$3=1,H$3=13,H$3=25,H$3=37,H$3=49),c_annual,0))</f>
        <v>0</v>
      </c>
      <c r="I30" s="15" t="n">
        <f aca="false">IF(I$3&gt;ROUND(p_stop_det,0)+3,0,IF(OR(I$3=1,I$3=13,I$3=25,I$3=37,I$3=49),c_annual,0))</f>
        <v>0</v>
      </c>
      <c r="J30" s="15" t="n">
        <f aca="false">IF(J$3&gt;ROUND(p_stop_det,0)+3,0,IF(OR(J$3=1,J$3=13,J$3=25,J$3=37,J$3=49),c_annual,0))</f>
        <v>0</v>
      </c>
      <c r="K30" s="15" t="n">
        <f aca="false">IF(K$3&gt;ROUND(p_stop_det,0)+3,0,IF(OR(K$3=1,K$3=13,K$3=25,K$3=37,K$3=49),c_annual,0))</f>
        <v>0</v>
      </c>
      <c r="L30" s="15" t="n">
        <f aca="false">IF(L$3&gt;ROUND(p_stop_det,0)+3,0,IF(OR(L$3=1,L$3=13,L$3=25,L$3=37,L$3=49),c_annual,0))</f>
        <v>0</v>
      </c>
      <c r="M30" s="15" t="n">
        <f aca="false">IF(M$3&gt;ROUND(p_stop_det,0)+3,0,IF(OR(M$3=1,M$3=13,M$3=25,M$3=37,M$3=49),c_annual,0))</f>
        <v>0</v>
      </c>
      <c r="N30" s="15" t="n">
        <f aca="false">IF(N$3&gt;ROUND(p_stop_det,0)+3,0,IF(OR(N$3=1,N$3=13,N$3=25,N$3=37,N$3=49),c_annual,0))</f>
        <v>0</v>
      </c>
      <c r="O30" s="15" t="n">
        <f aca="false">IF(O$3&gt;ROUND(p_stop_det,0)+3,0,IF(OR(O$3=1,O$3=13,O$3=25,O$3=37,O$3=49),c_annual,0))</f>
        <v>0</v>
      </c>
      <c r="P30" s="15" t="n">
        <f aca="false">IF(P$3&gt;ROUND(p_stop_det,0)+3,0,IF(OR(P$3=1,P$3=13,P$3=25,P$3=37,P$3=49),c_annual,0))</f>
        <v>567.5</v>
      </c>
      <c r="Q30" s="15" t="n">
        <f aca="false">IF(Q$3&gt;ROUND(p_stop_det,0)+3,0,IF(OR(Q$3=1,Q$3=13,Q$3=25,Q$3=37,Q$3=49),c_annual,0))</f>
        <v>0</v>
      </c>
      <c r="R30" s="15" t="n">
        <f aca="false">IF(R$3&gt;ROUND(p_stop_det,0)+3,0,IF(OR(R$3=1,R$3=13,R$3=25,R$3=37,R$3=49),c_annual,0))</f>
        <v>0</v>
      </c>
      <c r="S30" s="15" t="n">
        <f aca="false">IF(S$3&gt;ROUND(p_stop_det,0)+3,0,IF(OR(S$3=1,S$3=13,S$3=25,S$3=37,S$3=49),c_annual,0))</f>
        <v>0</v>
      </c>
      <c r="T30" s="15" t="n">
        <f aca="false">IF(T$3&gt;ROUND(p_stop_det,0)+3,0,IF(OR(T$3=1,T$3=13,T$3=25,T$3=37,T$3=49),c_annual,0))</f>
        <v>0</v>
      </c>
      <c r="U30" s="15" t="n">
        <f aca="false">IF(U$3&gt;ROUND(p_stop_det,0)+3,0,IF(OR(U$3=1,U$3=13,U$3=25,U$3=37,U$3=49),c_annual,0))</f>
        <v>0</v>
      </c>
      <c r="V30" s="15" t="n">
        <f aca="false">IF(V$3&gt;ROUND(p_stop_det,0)+3,0,IF(OR(V$3=1,V$3=13,V$3=25,V$3=37,V$3=49),c_annual,0))</f>
        <v>0</v>
      </c>
      <c r="W30" s="15" t="n">
        <f aca="false">IF(W$3&gt;ROUND(p_stop_det,0)+3,0,IF(OR(W$3=1,W$3=13,W$3=25,W$3=37,W$3=49),c_annual,0))</f>
        <v>0</v>
      </c>
      <c r="X30" s="15" t="n">
        <f aca="false">IF(X$3&gt;ROUND(p_stop_det,0)+3,0,IF(OR(X$3=1,X$3=13,X$3=25,X$3=37,X$3=49),c_annual,0))</f>
        <v>0</v>
      </c>
      <c r="Y30" s="15" t="n">
        <f aca="false">IF(Y$3&gt;ROUND(p_stop_det,0)+3,0,IF(OR(Y$3=1,Y$3=13,Y$3=25,Y$3=37,Y$3=49),c_annual,0))</f>
        <v>0</v>
      </c>
      <c r="Z30" s="15" t="n">
        <f aca="false">IF(Z$3&gt;ROUND(p_stop_det,0)+3,0,IF(OR(Z$3=1,Z$3=13,Z$3=25,Z$3=37,Z$3=49),c_annual,0))</f>
        <v>0</v>
      </c>
      <c r="AA30" s="15" t="n">
        <f aca="false">IF(AA$3&gt;ROUND(p_stop_det,0)+3,0,IF(OR(AA$3=1,AA$3=13,AA$3=25,AA$3=37,AA$3=49),c_annual,0))</f>
        <v>0</v>
      </c>
      <c r="AB30" s="15" t="n">
        <f aca="false">IF(AB$3&gt;ROUND(p_stop_det,0)+3,0,IF(OR(AB$3=1,AB$3=13,AB$3=25,AB$3=37,AB$3=49),c_annual,0))</f>
        <v>567.5</v>
      </c>
      <c r="AC30" s="15" t="n">
        <f aca="false">IF(AC$3&gt;ROUND(p_stop_det,0)+3,0,IF(OR(AC$3=1,AC$3=13,AC$3=25,AC$3=37,AC$3=49),c_annual,0))</f>
        <v>0</v>
      </c>
      <c r="AD30" s="15" t="n">
        <f aca="false">IF(AD$3&gt;ROUND(p_stop_det,0)+3,0,IF(OR(AD$3=1,AD$3=13,AD$3=25,AD$3=37,AD$3=49),c_annual,0))</f>
        <v>0</v>
      </c>
      <c r="AE30" s="15" t="n">
        <f aca="false">IF(AE$3&gt;ROUND(p_stop_det,0)+3,0,IF(OR(AE$3=1,AE$3=13,AE$3=25,AE$3=37,AE$3=49),c_annual,0))</f>
        <v>0</v>
      </c>
      <c r="AF30" s="15" t="n">
        <f aca="false">IF(AF$3&gt;ROUND(p_stop_det,0)+3,0,IF(OR(AF$3=1,AF$3=13,AF$3=25,AF$3=37,AF$3=49),c_annual,0))</f>
        <v>0</v>
      </c>
      <c r="AG30" s="15" t="n">
        <f aca="false">IF(AG$3&gt;ROUND(p_stop_det,0)+3,0,IF(OR(AG$3=1,AG$3=13,AG$3=25,AG$3=37,AG$3=49),c_annual,0))</f>
        <v>0</v>
      </c>
      <c r="AH30" s="15" t="n">
        <f aca="false">IF(AH$3&gt;ROUND(p_stop_det,0)+3,0,IF(OR(AH$3=1,AH$3=13,AH$3=25,AH$3=37,AH$3=49),c_annual,0))</f>
        <v>0</v>
      </c>
      <c r="AI30" s="15" t="n">
        <f aca="false">IF(AI$3&gt;ROUND(p_stop_det,0)+3,0,IF(OR(AI$3=1,AI$3=13,AI$3=25,AI$3=37,AI$3=49),c_annual,0))</f>
        <v>0</v>
      </c>
      <c r="AJ30" s="15" t="n">
        <f aca="false">IF(AJ$3&gt;ROUND(p_stop_det,0)+3,0,IF(OR(AJ$3=1,AJ$3=13,AJ$3=25,AJ$3=37,AJ$3=49),c_annual,0))</f>
        <v>0</v>
      </c>
      <c r="AK30" s="15" t="n">
        <f aca="false">IF(AK$3&gt;ROUND(p_stop_det,0)+3,0,IF(OR(AK$3=1,AK$3=13,AK$3=25,AK$3=37,AK$3=49),c_annual,0))</f>
        <v>0</v>
      </c>
      <c r="AL30" s="15" t="n">
        <f aca="false">IF(AL$3&gt;ROUND(p_stop_det,0)+3,0,IF(OR(AL$3=1,AL$3=13,AL$3=25,AL$3=37,AL$3=49),c_annual,0))</f>
        <v>0</v>
      </c>
      <c r="AM30" s="15" t="n">
        <f aca="false">IF(AM$3&gt;ROUND(p_stop_det,0)+3,0,IF(OR(AM$3=1,AM$3=13,AM$3=25,AM$3=37,AM$3=49),c_annual,0))</f>
        <v>0</v>
      </c>
      <c r="AN30" s="15" t="n">
        <f aca="false">IF(AN$3&gt;ROUND(p_stop_det,0)+3,0,IF(OR(AN$3=1,AN$3=13,AN$3=25,AN$3=37,AN$3=49),c_annual,0))</f>
        <v>567.5</v>
      </c>
      <c r="AO30" s="15" t="n">
        <f aca="false">IF(AO$3&gt;ROUND(p_stop_det,0)+3,0,IF(OR(AO$3=1,AO$3=13,AO$3=25,AO$3=37,AO$3=49),c_annual,0))</f>
        <v>0</v>
      </c>
      <c r="AP30" s="15" t="n">
        <f aca="false">IF(AP$3&gt;ROUND(p_stop_det,0)+3,0,IF(OR(AP$3=1,AP$3=13,AP$3=25,AP$3=37,AP$3=49),c_annual,0))</f>
        <v>0</v>
      </c>
      <c r="AQ30" s="15" t="n">
        <f aca="false">IF(AQ$3&gt;ROUND(p_stop_det,0)+3,0,IF(OR(AQ$3=1,AQ$3=13,AQ$3=25,AQ$3=37,AQ$3=49),c_annual,0))</f>
        <v>0</v>
      </c>
      <c r="AR30" s="15" t="n">
        <f aca="false">IF(AR$3&gt;ROUND(p_stop_det,0)+3,0,IF(OR(AR$3=1,AR$3=13,AR$3=25,AR$3=37,AR$3=49),c_annual,0))</f>
        <v>0</v>
      </c>
      <c r="AS30" s="15" t="n">
        <f aca="false">IF(AS$3&gt;ROUND(p_stop_det,0)+3,0,IF(OR(AS$3=1,AS$3=13,AS$3=25,AS$3=37,AS$3=49),c_annual,0))</f>
        <v>0</v>
      </c>
      <c r="AT30" s="15" t="n">
        <f aca="false">IF(AT$3&gt;ROUND(p_stop_det,0)+3,0,IF(OR(AT$3=1,AT$3=13,AT$3=25,AT$3=37,AT$3=49),c_annual,0))</f>
        <v>0</v>
      </c>
      <c r="AU30" s="15" t="n">
        <f aca="false">IF(AU$3&gt;ROUND(p_stop_det,0)+3,0,IF(OR(AU$3=1,AU$3=13,AU$3=25,AU$3=37,AU$3=49),c_annual,0))</f>
        <v>0</v>
      </c>
      <c r="AV30" s="15" t="n">
        <f aca="false">IF(AV$3&gt;ROUND(p_stop_det,0)+3,0,IF(OR(AV$3=1,AV$3=13,AV$3=25,AV$3=37,AV$3=49),c_annual,0))</f>
        <v>0</v>
      </c>
      <c r="AW30" s="15" t="n">
        <f aca="false">IF(AW$3&gt;ROUND(p_stop_det,0)+3,0,IF(OR(AW$3=1,AW$3=13,AW$3=25,AW$3=37,AW$3=49),c_annual,0))</f>
        <v>0</v>
      </c>
      <c r="AX30" s="15" t="n">
        <f aca="false">IF(AX$3&gt;ROUND(p_stop_det,0)+3,0,IF(OR(AX$3=1,AX$3=13,AX$3=25,AX$3=37,AX$3=49),c_annual,0))</f>
        <v>0</v>
      </c>
      <c r="AY30" s="15" t="n">
        <f aca="false">IF(AY$3&gt;ROUND(p_stop_det,0)+3,0,IF(OR(AY$3=1,AY$3=13,AY$3=25,AY$3=37,AY$3=49),c_annual,0))</f>
        <v>0</v>
      </c>
      <c r="AZ30" s="15" t="n">
        <f aca="false">IF(AZ$3&gt;ROUND(p_stop_det,0)+3,0,IF(OR(AZ$3=1,AZ$3=13,AZ$3=25,AZ$3=37,AZ$3=49),c_annual,0))</f>
        <v>567.5</v>
      </c>
      <c r="BA30" s="15" t="n">
        <f aca="false">IF(BA$3&gt;ROUND(p_stop_det,0)+3,0,IF(OR(BA$3=1,BA$3=13,BA$3=25,BA$3=37,BA$3=49),c_annual,0))</f>
        <v>0</v>
      </c>
      <c r="BB30" s="15" t="n">
        <f aca="false">IF(BB$3&gt;ROUND(p_stop_det,0)+3,0,IF(OR(BB$3=1,BB$3=13,BB$3=25,BB$3=37,BB$3=49),c_annual,0))</f>
        <v>0</v>
      </c>
      <c r="BC30" s="15" t="n">
        <f aca="false">IF(BC$3&gt;ROUND(p_stop_det,0)+3,0,IF(OR(BC$3=1,BC$3=13,BC$3=25,BC$3=37,BC$3=49),c_annual,0))</f>
        <v>0</v>
      </c>
      <c r="BD30" s="15" t="n">
        <f aca="false">IF(BD$3&gt;ROUND(p_stop_det,0)+3,0,IF(OR(BD$3=1,BD$3=13,BD$3=25,BD$3=37,BD$3=49),c_annual,0))</f>
        <v>0</v>
      </c>
      <c r="BE30" s="15" t="n">
        <f aca="false">IF(BE$3&gt;ROUND(p_stop_det,0)+3,0,IF(OR(BE$3=1,BE$3=13,BE$3=25,BE$3=37,BE$3=49),c_annual,0))</f>
        <v>0</v>
      </c>
      <c r="BF30" s="15" t="n">
        <f aca="false">IF(BF$3&gt;ROUND(p_stop_det,0)+3,0,IF(OR(BF$3=1,BF$3=13,BF$3=25,BF$3=37,BF$3=49),c_annual,0))</f>
        <v>0</v>
      </c>
      <c r="BG30" s="15" t="n">
        <f aca="false">IF(BG$3&gt;ROUND(p_stop_det,0)+3,0,IF(OR(BG$3=1,BG$3=13,BG$3=25,BG$3=37,BG$3=49),c_annual,0))</f>
        <v>0</v>
      </c>
      <c r="BH30" s="15" t="n">
        <f aca="false">IF(BH$3&gt;ROUND(p_stop_det,0)+3,0,IF(OR(BH$3=1,BH$3=13,BH$3=25,BH$3=37,BH$3=49),c_annual,0))</f>
        <v>0</v>
      </c>
      <c r="BI30" s="15" t="n">
        <f aca="false">IF(BI$3&gt;ROUND(p_stop_det,0)+3,0,IF(OR(BI$3=1,BI$3=13,BI$3=25,BI$3=37,BI$3=49),c_annual,0))</f>
        <v>0</v>
      </c>
      <c r="BJ30" s="15" t="n">
        <f aca="false">IF(BJ$3&gt;ROUND(p_stop_det,0)+3,0,IF(OR(BJ$3=1,BJ$3=13,BJ$3=25,BJ$3=37,BJ$3=49),c_annual,0))</f>
        <v>0</v>
      </c>
      <c r="BK30" s="15" t="n">
        <f aca="false">IF(BK$3&gt;ROUND(p_stop_det,0)+3,0,IF(OR(BK$3=1,BK$3=13,BK$3=25,BK$3=37,BK$3=49),c_annual,0))</f>
        <v>0</v>
      </c>
    </row>
    <row r="31" customFormat="false" ht="15" hidden="false" customHeight="true" outlineLevel="0" collapsed="false">
      <c r="A31" s="10" t="s">
        <v>451</v>
      </c>
      <c r="D31" s="15" t="n">
        <f aca="false">(s_Rc1*p_pwin_cen*p_bond_css*15/12+s_Rc2*p_pwin_cen*p_minsa_occ*p_bond_minsa)/p_realiz*D9*D12*D6</f>
        <v>0</v>
      </c>
      <c r="E31" s="15" t="n">
        <f aca="false">(s_Rc1*p_pwin_cen*p_bond_css*15/12+s_Rc2*p_pwin_cen*p_minsa_occ*p_bond_minsa)/p_realiz*E9*E12*E6</f>
        <v>0</v>
      </c>
      <c r="F31" s="15" t="n">
        <f aca="false">(s_Rc1*p_pwin_cen*p_bond_css*15/12+s_Rc2*p_pwin_cen*p_minsa_occ*p_bond_minsa)/p_realiz*F9*F12*F6</f>
        <v>0</v>
      </c>
      <c r="G31" s="15" t="n">
        <f aca="false">(s_Rc1*p_pwin_cen*p_bond_css*15/12+s_Rc2*p_pwin_cen*p_minsa_occ*p_bond_minsa)/p_realiz*G9*G12*G6</f>
        <v>0</v>
      </c>
      <c r="H31" s="15" t="n">
        <f aca="false">(s_Rc1*p_pwin_cen*p_bond_css*15/12+s_Rc2*p_pwin_cen*p_minsa_occ*p_bond_minsa)/p_realiz*H9*H12*H6</f>
        <v>0</v>
      </c>
      <c r="I31" s="15" t="n">
        <f aca="false">(s_Rc1*p_pwin_cen*p_bond_css*15/12+s_Rc2*p_pwin_cen*p_minsa_occ*p_bond_minsa)/p_realiz*I9*I12*I6</f>
        <v>0</v>
      </c>
      <c r="J31" s="15" t="n">
        <f aca="false">(s_Rc1*p_pwin_cen*p_bond_css*15/12+s_Rc2*p_pwin_cen*p_minsa_occ*p_bond_minsa)/p_realiz*J9*J12*J6</f>
        <v>0</v>
      </c>
      <c r="K31" s="15" t="n">
        <f aca="false">(s_Rc1*p_pwin_cen*p_bond_css*15/12+s_Rc2*p_pwin_cen*p_minsa_occ*p_bond_minsa)/p_realiz*K9*K12*K6</f>
        <v>0</v>
      </c>
      <c r="L31" s="15" t="n">
        <f aca="false">(s_Rc1*p_pwin_cen*p_bond_css*15/12+s_Rc2*p_pwin_cen*p_minsa_occ*p_bond_minsa)/p_realiz*L9*L12*L6</f>
        <v>0</v>
      </c>
      <c r="M31" s="15" t="n">
        <f aca="false">(s_Rc1*p_pwin_cen*p_bond_css*15/12+s_Rc2*p_pwin_cen*p_minsa_occ*p_bond_minsa)/p_realiz*M9*M12*M6</f>
        <v>0</v>
      </c>
      <c r="N31" s="15" t="n">
        <f aca="false">(s_Rc1*p_pwin_cen*p_bond_css*15/12+s_Rc2*p_pwin_cen*p_minsa_occ*p_bond_minsa)/p_realiz*N9*N12*N6</f>
        <v>0</v>
      </c>
      <c r="O31" s="15" t="n">
        <f aca="false">(s_Rc1*p_pwin_cen*p_bond_css*15/12+s_Rc2*p_pwin_cen*p_minsa_occ*p_bond_minsa)/p_realiz*O9*O12*O6</f>
        <v>0</v>
      </c>
      <c r="P31" s="15" t="n">
        <f aca="false">(s_Rc1*p_pwin_cen*p_bond_css*15/12+s_Rc2*p_pwin_cen*p_minsa_occ*p_bond_minsa)/p_realiz*P9*P12*P6</f>
        <v>0</v>
      </c>
      <c r="Q31" s="15" t="n">
        <f aca="false">(s_Rc1*p_pwin_cen*p_bond_css*15/12+s_Rc2*p_pwin_cen*p_minsa_occ*p_bond_minsa)/p_realiz*Q9*Q12*Q6</f>
        <v>0</v>
      </c>
      <c r="R31" s="15" t="n">
        <f aca="false">(s_Rc1*p_pwin_cen*p_bond_css*15/12+s_Rc2*p_pwin_cen*p_minsa_occ*p_bond_minsa)/p_realiz*R9*R12*R6</f>
        <v>50290.9957477125</v>
      </c>
      <c r="S31" s="15" t="n">
        <f aca="false">(s_Rc1*p_pwin_cen*p_bond_css*15/12+s_Rc2*p_pwin_cen*p_minsa_occ*p_bond_minsa)/p_realiz*S9*S12*S6</f>
        <v>50290.9957477125</v>
      </c>
      <c r="T31" s="15" t="n">
        <f aca="false">(s_Rc1*p_pwin_cen*p_bond_css*15/12+s_Rc2*p_pwin_cen*p_minsa_occ*p_bond_minsa)/p_realiz*T9*T12*T6</f>
        <v>50290.9957477125</v>
      </c>
      <c r="U31" s="15" t="n">
        <f aca="false">(s_Rc1*p_pwin_cen*p_bond_css*15/12+s_Rc2*p_pwin_cen*p_minsa_occ*p_bond_minsa)/p_realiz*U9*U12*U6</f>
        <v>50290.9957477125</v>
      </c>
      <c r="V31" s="15" t="n">
        <f aca="false">(s_Rc1*p_pwin_cen*p_bond_css*15/12+s_Rc2*p_pwin_cen*p_minsa_occ*p_bond_minsa)/p_realiz*V9*V12*V6</f>
        <v>50290.9957477125</v>
      </c>
      <c r="W31" s="15" t="n">
        <f aca="false">(s_Rc1*p_pwin_cen*p_bond_css*15/12+s_Rc2*p_pwin_cen*p_minsa_occ*p_bond_minsa)/p_realiz*W9*W12*W6</f>
        <v>50290.9957477125</v>
      </c>
      <c r="X31" s="15" t="n">
        <f aca="false">(s_Rc1*p_pwin_cen*p_bond_css*15/12+s_Rc2*p_pwin_cen*p_minsa_occ*p_bond_minsa)/p_realiz*X9*X12*X6</f>
        <v>50290.9957477125</v>
      </c>
      <c r="Y31" s="15" t="n">
        <f aca="false">(s_Rc1*p_pwin_cen*p_bond_css*15/12+s_Rc2*p_pwin_cen*p_minsa_occ*p_bond_minsa)/p_realiz*Y9*Y12*Y6</f>
        <v>50290.9957477125</v>
      </c>
      <c r="Z31" s="15" t="n">
        <f aca="false">(s_Rc1*p_pwin_cen*p_bond_css*15/12+s_Rc2*p_pwin_cen*p_minsa_occ*p_bond_minsa)/p_realiz*Z9*Z12*Z6</f>
        <v>50290.9957477125</v>
      </c>
      <c r="AA31" s="15" t="n">
        <f aca="false">(s_Rc1*p_pwin_cen*p_bond_css*15/12+s_Rc2*p_pwin_cen*p_minsa_occ*p_bond_minsa)/p_realiz*AA9*AA12*AA6</f>
        <v>69493.01230593</v>
      </c>
      <c r="AB31" s="15" t="n">
        <f aca="false">(s_Rc1*p_pwin_cen*p_bond_css*15/12+s_Rc2*p_pwin_cen*p_minsa_occ*p_bond_minsa)/p_realiz*AB9*AB12*AB6</f>
        <v>69493.01230593</v>
      </c>
      <c r="AC31" s="15" t="n">
        <f aca="false">(s_Rc1*p_pwin_cen*p_bond_css*15/12+s_Rc2*p_pwin_cen*p_minsa_occ*p_bond_minsa)/p_realiz*AC9*AC12*AC6</f>
        <v>69493.01230593</v>
      </c>
      <c r="AD31" s="15" t="n">
        <f aca="false">(s_Rc1*p_pwin_cen*p_bond_css*15/12+s_Rc2*p_pwin_cen*p_minsa_occ*p_bond_minsa)/p_realiz*AD9*AD12*AD6</f>
        <v>69493.01230593</v>
      </c>
      <c r="AE31" s="15" t="n">
        <f aca="false">(s_Rc1*p_pwin_cen*p_bond_css*15/12+s_Rc2*p_pwin_cen*p_minsa_occ*p_bond_minsa)/p_realiz*AE9*AE12*AE6</f>
        <v>69493.01230593</v>
      </c>
      <c r="AF31" s="15" t="n">
        <f aca="false">(s_Rc1*p_pwin_cen*p_bond_css*15/12+s_Rc2*p_pwin_cen*p_minsa_occ*p_bond_minsa)/p_realiz*AF9*AF12*AF6</f>
        <v>69493.01230593</v>
      </c>
      <c r="AG31" s="15" t="n">
        <f aca="false">(s_Rc1*p_pwin_cen*p_bond_css*15/12+s_Rc2*p_pwin_cen*p_minsa_occ*p_bond_minsa)/p_realiz*AG9*AG12*AG6</f>
        <v>69493.01230593</v>
      </c>
      <c r="AH31" s="15" t="n">
        <f aca="false">(s_Rc1*p_pwin_cen*p_bond_css*15/12+s_Rc2*p_pwin_cen*p_minsa_occ*p_bond_minsa)/p_realiz*AH9*AH12*AH6</f>
        <v>69493.01230593</v>
      </c>
      <c r="AI31" s="15" t="n">
        <f aca="false">(s_Rc1*p_pwin_cen*p_bond_css*15/12+s_Rc2*p_pwin_cen*p_minsa_occ*p_bond_minsa)/p_realiz*AI9*AI12*AI6</f>
        <v>69493.01230593</v>
      </c>
      <c r="AJ31" s="15" t="n">
        <f aca="false">(s_Rc1*p_pwin_cen*p_bond_css*15/12+s_Rc2*p_pwin_cen*p_minsa_occ*p_bond_minsa)/p_realiz*AJ9*AJ12*AJ6</f>
        <v>69493.01230593</v>
      </c>
      <c r="AK31" s="15" t="n">
        <f aca="false">(s_Rc1*p_pwin_cen*p_bond_css*15/12+s_Rc2*p_pwin_cen*p_minsa_occ*p_bond_minsa)/p_realiz*AK9*AK12*AK6</f>
        <v>69493.01230593</v>
      </c>
      <c r="AL31" s="15" t="n">
        <f aca="false">(s_Rc1*p_pwin_cen*p_bond_css*15/12+s_Rc2*p_pwin_cen*p_minsa_occ*p_bond_minsa)/p_realiz*AL9*AL12*AL6</f>
        <v>69493.01230593</v>
      </c>
      <c r="AM31" s="15" t="n">
        <f aca="false">(s_Rc1*p_pwin_cen*p_bond_css*15/12+s_Rc2*p_pwin_cen*p_minsa_occ*p_bond_minsa)/p_realiz*AM9*AM12*AM6</f>
        <v>69493.01230593</v>
      </c>
      <c r="AN31" s="15" t="n">
        <f aca="false">(s_Rc1*p_pwin_cen*p_bond_css*15/12+s_Rc2*p_pwin_cen*p_minsa_occ*p_bond_minsa)/p_realiz*AN9*AN12*AN6</f>
        <v>69493.01230593</v>
      </c>
      <c r="AO31" s="15" t="n">
        <f aca="false">(s_Rc1*p_pwin_cen*p_bond_css*15/12+s_Rc2*p_pwin_cen*p_minsa_occ*p_bond_minsa)/p_realiz*AO9*AO12*AO6</f>
        <v>69493.01230593</v>
      </c>
      <c r="AP31" s="15" t="n">
        <f aca="false">(s_Rc1*p_pwin_cen*p_bond_css*15/12+s_Rc2*p_pwin_cen*p_minsa_occ*p_bond_minsa)/p_realiz*AP9*AP12*AP6</f>
        <v>69493.01230593</v>
      </c>
      <c r="AQ31" s="15" t="n">
        <f aca="false">(s_Rc1*p_pwin_cen*p_bond_css*15/12+s_Rc2*p_pwin_cen*p_minsa_occ*p_bond_minsa)/p_realiz*AQ9*AQ12*AQ6</f>
        <v>69493.01230593</v>
      </c>
      <c r="AR31" s="15" t="n">
        <f aca="false">(s_Rc1*p_pwin_cen*p_bond_css*15/12+s_Rc2*p_pwin_cen*p_minsa_occ*p_bond_minsa)/p_realiz*AR9*AR12*AR6</f>
        <v>69493.01230593</v>
      </c>
      <c r="AS31" s="15" t="n">
        <f aca="false">(s_Rc1*p_pwin_cen*p_bond_css*15/12+s_Rc2*p_pwin_cen*p_minsa_occ*p_bond_minsa)/p_realiz*AS9*AS12*AS6</f>
        <v>69493.01230593</v>
      </c>
      <c r="AT31" s="15" t="n">
        <f aca="false">(s_Rc1*p_pwin_cen*p_bond_css*15/12+s_Rc2*p_pwin_cen*p_minsa_occ*p_bond_minsa)/p_realiz*AT9*AT12*AT6</f>
        <v>69493.01230593</v>
      </c>
      <c r="AU31" s="15" t="n">
        <f aca="false">(s_Rc1*p_pwin_cen*p_bond_css*15/12+s_Rc2*p_pwin_cen*p_minsa_occ*p_bond_minsa)/p_realiz*AU9*AU12*AU6</f>
        <v>69493.01230593</v>
      </c>
      <c r="AV31" s="15" t="n">
        <f aca="false">(s_Rc1*p_pwin_cen*p_bond_css*15/12+s_Rc2*p_pwin_cen*p_minsa_occ*p_bond_minsa)/p_realiz*AV9*AV12*AV6</f>
        <v>69493.01230593</v>
      </c>
      <c r="AW31" s="15" t="n">
        <f aca="false">(s_Rc1*p_pwin_cen*p_bond_css*15/12+s_Rc2*p_pwin_cen*p_minsa_occ*p_bond_minsa)/p_realiz*AW9*AW12*AW6</f>
        <v>69493.01230593</v>
      </c>
      <c r="AX31" s="15" t="n">
        <f aca="false">(s_Rc1*p_pwin_cen*p_bond_css*15/12+s_Rc2*p_pwin_cen*p_minsa_occ*p_bond_minsa)/p_realiz*AX9*AX12*AX6</f>
        <v>69493.01230593</v>
      </c>
      <c r="AY31" s="15" t="n">
        <f aca="false">(s_Rc1*p_pwin_cen*p_bond_css*15/12+s_Rc2*p_pwin_cen*p_minsa_occ*p_bond_minsa)/p_realiz*AY9*AY12*AY6</f>
        <v>69493.01230593</v>
      </c>
      <c r="AZ31" s="15" t="n">
        <f aca="false">(s_Rc1*p_pwin_cen*p_bond_css*15/12+s_Rc2*p_pwin_cen*p_minsa_occ*p_bond_minsa)/p_realiz*AZ9*AZ12*AZ6</f>
        <v>69493.01230593</v>
      </c>
      <c r="BA31" s="15" t="n">
        <f aca="false">(s_Rc1*p_pwin_cen*p_bond_css*15/12+s_Rc2*p_pwin_cen*p_minsa_occ*p_bond_minsa)/p_realiz*BA9*BA12*BA6</f>
        <v>69493.01230593</v>
      </c>
      <c r="BB31" s="15" t="n">
        <f aca="false">(s_Rc1*p_pwin_cen*p_bond_css*15/12+s_Rc2*p_pwin_cen*p_minsa_occ*p_bond_minsa)/p_realiz*BB9*BB12*BB6</f>
        <v>69493.01230593</v>
      </c>
      <c r="BC31" s="15" t="n">
        <f aca="false">(s_Rc1*p_pwin_cen*p_bond_css*15/12+s_Rc2*p_pwin_cen*p_minsa_occ*p_bond_minsa)/p_realiz*BC9*BC12*BC6</f>
        <v>69493.01230593</v>
      </c>
      <c r="BD31" s="15" t="n">
        <f aca="false">(s_Rc1*p_pwin_cen*p_bond_css*15/12+s_Rc2*p_pwin_cen*p_minsa_occ*p_bond_minsa)/p_realiz*BD9*BD12*BD6</f>
        <v>69493.01230593</v>
      </c>
      <c r="BE31" s="15" t="n">
        <f aca="false">(s_Rc1*p_pwin_cen*p_bond_css*15/12+s_Rc2*p_pwin_cen*p_minsa_occ*p_bond_minsa)/p_realiz*BE9*BE12*BE6</f>
        <v>69493.01230593</v>
      </c>
      <c r="BF31" s="15" t="n">
        <f aca="false">(s_Rc1*p_pwin_cen*p_bond_css*15/12+s_Rc2*p_pwin_cen*p_minsa_occ*p_bond_minsa)/p_realiz*BF9*BF12*BF6</f>
        <v>69493.01230593</v>
      </c>
      <c r="BG31" s="15" t="n">
        <f aca="false">(s_Rc1*p_pwin_cen*p_bond_css*15/12+s_Rc2*p_pwin_cen*p_minsa_occ*p_bond_minsa)/p_realiz*BG9*BG12*BG6</f>
        <v>69493.01230593</v>
      </c>
      <c r="BH31" s="15" t="n">
        <f aca="false">(s_Rc1*p_pwin_cen*p_bond_css*15/12+s_Rc2*p_pwin_cen*p_minsa_occ*p_bond_minsa)/p_realiz*BH9*BH12*BH6</f>
        <v>69493.01230593</v>
      </c>
      <c r="BI31" s="15" t="n">
        <f aca="false">(s_Rc1*p_pwin_cen*p_bond_css*15/12+s_Rc2*p_pwin_cen*p_minsa_occ*p_bond_minsa)/p_realiz*BI9*BI12*BI6</f>
        <v>69493.01230593</v>
      </c>
      <c r="BJ31" s="15" t="n">
        <f aca="false">(s_Rc1*p_pwin_cen*p_bond_css*15/12+s_Rc2*p_pwin_cen*p_minsa_occ*p_bond_minsa)/p_realiz*BJ9*BJ12*BJ6</f>
        <v>69493.01230593</v>
      </c>
      <c r="BK31" s="15" t="n">
        <f aca="false">(s_Rc1*p_pwin_cen*p_bond_css*15/12+s_Rc2*p_pwin_cen*p_minsa_occ*p_bond_minsa)/p_realiz*BK9*BK12*BK6</f>
        <v>69493.01230593</v>
      </c>
    </row>
    <row r="32" customFormat="false" ht="15" hidden="false" customHeight="true" outlineLevel="0" collapsed="false">
      <c r="A32" s="10" t="s">
        <v>452</v>
      </c>
      <c r="D32" s="15" t="n">
        <f aca="false">p_bid_bond*s_bid*15/12*D12*IF(AND(D$3&gt;=c_cen_start-c_bid_m,MOD(D$3-(c_cen_start-c_bid_m),15)&lt;c_bid_m),1,0)*D6</f>
        <v>0</v>
      </c>
      <c r="E32" s="15" t="n">
        <f aca="false">p_bid_bond*s_bid*15/12*E12*IF(AND(E$3&gt;=c_cen_start-c_bid_m,MOD(E$3-(c_cen_start-c_bid_m),15)&lt;c_bid_m),1,0)*E6</f>
        <v>0</v>
      </c>
      <c r="F32" s="15" t="n">
        <f aca="false">p_bid_bond*s_bid*15/12*F12*IF(AND(F$3&gt;=c_cen_start-c_bid_m,MOD(F$3-(c_cen_start-c_bid_m),15)&lt;c_bid_m),1,0)*F6</f>
        <v>0</v>
      </c>
      <c r="G32" s="15" t="n">
        <f aca="false">p_bid_bond*s_bid*15/12*G12*IF(AND(G$3&gt;=c_cen_start-c_bid_m,MOD(G$3-(c_cen_start-c_bid_m),15)&lt;c_bid_m),1,0)*G6</f>
        <v>0</v>
      </c>
      <c r="H32" s="15" t="n">
        <f aca="false">p_bid_bond*s_bid*15/12*H12*IF(AND(H$3&gt;=c_cen_start-c_bid_m,MOD(H$3-(c_cen_start-c_bid_m),15)&lt;c_bid_m),1,0)*H6</f>
        <v>0</v>
      </c>
      <c r="I32" s="15" t="n">
        <f aca="false">p_bid_bond*s_bid*15/12*I12*IF(AND(I$3&gt;=c_cen_start-c_bid_m,MOD(I$3-(c_cen_start-c_bid_m),15)&lt;c_bid_m),1,0)*I6</f>
        <v>0</v>
      </c>
      <c r="J32" s="15" t="n">
        <f aca="false">p_bid_bond*s_bid*15/12*J12*IF(AND(J$3&gt;=c_cen_start-c_bid_m,MOD(J$3-(c_cen_start-c_bid_m),15)&lt;c_bid_m),1,0)*J6</f>
        <v>0</v>
      </c>
      <c r="K32" s="15" t="n">
        <f aca="false">p_bid_bond*s_bid*15/12*K12*IF(AND(K$3&gt;=c_cen_start-c_bid_m,MOD(K$3-(c_cen_start-c_bid_m),15)&lt;c_bid_m),1,0)*K6</f>
        <v>0</v>
      </c>
      <c r="L32" s="15" t="n">
        <f aca="false">p_bid_bond*s_bid*15/12*L12*IF(AND(L$3&gt;=c_cen_start-c_bid_m,MOD(L$3-(c_cen_start-c_bid_m),15)&lt;c_bid_m),1,0)*L6</f>
        <v>0</v>
      </c>
      <c r="M32" s="15" t="n">
        <f aca="false">p_bid_bond*s_bid*15/12*M12*IF(AND(M$3&gt;=c_cen_start-c_bid_m,MOD(M$3-(c_cen_start-c_bid_m),15)&lt;c_bid_m),1,0)*M6</f>
        <v>0</v>
      </c>
      <c r="N32" s="15" t="n">
        <f aca="false">p_bid_bond*s_bid*15/12*N12*IF(AND(N$3&gt;=c_cen_start-c_bid_m,MOD(N$3-(c_cen_start-c_bid_m),15)&lt;c_bid_m),1,0)*N6</f>
        <v>0</v>
      </c>
      <c r="O32" s="15" t="n">
        <f aca="false">p_bid_bond*s_bid*15/12*O12*IF(AND(O$3&gt;=c_cen_start-c_bid_m,MOD(O$3-(c_cen_start-c_bid_m),15)&lt;c_bid_m),1,0)*O6</f>
        <v>22994.215565625</v>
      </c>
      <c r="P32" s="15" t="n">
        <f aca="false">p_bid_bond*s_bid*15/12*P12*IF(AND(P$3&gt;=c_cen_start-c_bid_m,MOD(P$3-(c_cen_start-c_bid_m),15)&lt;c_bid_m),1,0)*P6</f>
        <v>22994.215565625</v>
      </c>
      <c r="Q32" s="15" t="n">
        <f aca="false">p_bid_bond*s_bid*15/12*Q12*IF(AND(Q$3&gt;=c_cen_start-c_bid_m,MOD(Q$3-(c_cen_start-c_bid_m),15)&lt;c_bid_m),1,0)*Q6</f>
        <v>22994.215565625</v>
      </c>
      <c r="R32" s="15" t="n">
        <f aca="false">p_bid_bond*s_bid*15/12*R12*IF(AND(R$3&gt;=c_cen_start-c_bid_m,MOD(R$3-(c_cen_start-c_bid_m),15)&lt;c_bid_m),1,0)*R6</f>
        <v>0</v>
      </c>
      <c r="S32" s="15" t="n">
        <f aca="false">p_bid_bond*s_bid*15/12*S12*IF(AND(S$3&gt;=c_cen_start-c_bid_m,MOD(S$3-(c_cen_start-c_bid_m),15)&lt;c_bid_m),1,0)*S6</f>
        <v>0</v>
      </c>
      <c r="T32" s="15" t="n">
        <f aca="false">p_bid_bond*s_bid*15/12*T12*IF(AND(T$3&gt;=c_cen_start-c_bid_m,MOD(T$3-(c_cen_start-c_bid_m),15)&lt;c_bid_m),1,0)*T6</f>
        <v>0</v>
      </c>
      <c r="U32" s="15" t="n">
        <f aca="false">p_bid_bond*s_bid*15/12*U12*IF(AND(U$3&gt;=c_cen_start-c_bid_m,MOD(U$3-(c_cen_start-c_bid_m),15)&lt;c_bid_m),1,0)*U6</f>
        <v>0</v>
      </c>
      <c r="V32" s="15" t="n">
        <f aca="false">p_bid_bond*s_bid*15/12*V12*IF(AND(V$3&gt;=c_cen_start-c_bid_m,MOD(V$3-(c_cen_start-c_bid_m),15)&lt;c_bid_m),1,0)*V6</f>
        <v>0</v>
      </c>
      <c r="W32" s="15" t="n">
        <f aca="false">p_bid_bond*s_bid*15/12*W12*IF(AND(W$3&gt;=c_cen_start-c_bid_m,MOD(W$3-(c_cen_start-c_bid_m),15)&lt;c_bid_m),1,0)*W6</f>
        <v>0</v>
      </c>
      <c r="X32" s="15" t="n">
        <f aca="false">p_bid_bond*s_bid*15/12*X12*IF(AND(X$3&gt;=c_cen_start-c_bid_m,MOD(X$3-(c_cen_start-c_bid_m),15)&lt;c_bid_m),1,0)*X6</f>
        <v>0</v>
      </c>
      <c r="Y32" s="15" t="n">
        <f aca="false">p_bid_bond*s_bid*15/12*Y12*IF(AND(Y$3&gt;=c_cen_start-c_bid_m,MOD(Y$3-(c_cen_start-c_bid_m),15)&lt;c_bid_m),1,0)*Y6</f>
        <v>0</v>
      </c>
      <c r="Z32" s="15" t="n">
        <f aca="false">p_bid_bond*s_bid*15/12*Z12*IF(AND(Z$3&gt;=c_cen_start-c_bid_m,MOD(Z$3-(c_cen_start-c_bid_m),15)&lt;c_bid_m),1,0)*Z6</f>
        <v>0</v>
      </c>
      <c r="AA32" s="15" t="n">
        <f aca="false">p_bid_bond*s_bid*15/12*AA12*IF(AND(AA$3&gt;=c_cen_start-c_bid_m,MOD(AA$3-(c_cen_start-c_bid_m),15)&lt;c_bid_m),1,0)*AA6</f>
        <v>0</v>
      </c>
      <c r="AB32" s="15" t="n">
        <f aca="false">p_bid_bond*s_bid*15/12*AB12*IF(AND(AB$3&gt;=c_cen_start-c_bid_m,MOD(AB$3-(c_cen_start-c_bid_m),15)&lt;c_bid_m),1,0)*AB6</f>
        <v>0</v>
      </c>
      <c r="AC32" s="15" t="n">
        <f aca="false">p_bid_bond*s_bid*15/12*AC12*IF(AND(AC$3&gt;=c_cen_start-c_bid_m,MOD(AC$3-(c_cen_start-c_bid_m),15)&lt;c_bid_m),1,0)*AC6</f>
        <v>0</v>
      </c>
      <c r="AD32" s="15" t="n">
        <f aca="false">p_bid_bond*s_bid*15/12*AD12*IF(AND(AD$3&gt;=c_cen_start-c_bid_m,MOD(AD$3-(c_cen_start-c_bid_m),15)&lt;c_bid_m),1,0)*AD6</f>
        <v>31773.8251452273</v>
      </c>
      <c r="AE32" s="15" t="n">
        <f aca="false">p_bid_bond*s_bid*15/12*AE12*IF(AND(AE$3&gt;=c_cen_start-c_bid_m,MOD(AE$3-(c_cen_start-c_bid_m),15)&lt;c_bid_m),1,0)*AE6</f>
        <v>31773.8251452273</v>
      </c>
      <c r="AF32" s="15" t="n">
        <f aca="false">p_bid_bond*s_bid*15/12*AF12*IF(AND(AF$3&gt;=c_cen_start-c_bid_m,MOD(AF$3-(c_cen_start-c_bid_m),15)&lt;c_bid_m),1,0)*AF6</f>
        <v>31773.8251452273</v>
      </c>
      <c r="AG32" s="15" t="n">
        <f aca="false">p_bid_bond*s_bid*15/12*AG12*IF(AND(AG$3&gt;=c_cen_start-c_bid_m,MOD(AG$3-(c_cen_start-c_bid_m),15)&lt;c_bid_m),1,0)*AG6</f>
        <v>0</v>
      </c>
      <c r="AH32" s="15" t="n">
        <f aca="false">p_bid_bond*s_bid*15/12*AH12*IF(AND(AH$3&gt;=c_cen_start-c_bid_m,MOD(AH$3-(c_cen_start-c_bid_m),15)&lt;c_bid_m),1,0)*AH6</f>
        <v>0</v>
      </c>
      <c r="AI32" s="15" t="n">
        <f aca="false">p_bid_bond*s_bid*15/12*AI12*IF(AND(AI$3&gt;=c_cen_start-c_bid_m,MOD(AI$3-(c_cen_start-c_bid_m),15)&lt;c_bid_m),1,0)*AI6</f>
        <v>0</v>
      </c>
      <c r="AJ32" s="15" t="n">
        <f aca="false">p_bid_bond*s_bid*15/12*AJ12*IF(AND(AJ$3&gt;=c_cen_start-c_bid_m,MOD(AJ$3-(c_cen_start-c_bid_m),15)&lt;c_bid_m),1,0)*AJ6</f>
        <v>0</v>
      </c>
      <c r="AK32" s="15" t="n">
        <f aca="false">p_bid_bond*s_bid*15/12*AK12*IF(AND(AK$3&gt;=c_cen_start-c_bid_m,MOD(AK$3-(c_cen_start-c_bid_m),15)&lt;c_bid_m),1,0)*AK6</f>
        <v>0</v>
      </c>
      <c r="AL32" s="15" t="n">
        <f aca="false">p_bid_bond*s_bid*15/12*AL12*IF(AND(AL$3&gt;=c_cen_start-c_bid_m,MOD(AL$3-(c_cen_start-c_bid_m),15)&lt;c_bid_m),1,0)*AL6</f>
        <v>0</v>
      </c>
      <c r="AM32" s="15" t="n">
        <f aca="false">p_bid_bond*s_bid*15/12*AM12*IF(AND(AM$3&gt;=c_cen_start-c_bid_m,MOD(AM$3-(c_cen_start-c_bid_m),15)&lt;c_bid_m),1,0)*AM6</f>
        <v>0</v>
      </c>
      <c r="AN32" s="15" t="n">
        <f aca="false">p_bid_bond*s_bid*15/12*AN12*IF(AND(AN$3&gt;=c_cen_start-c_bid_m,MOD(AN$3-(c_cen_start-c_bid_m),15)&lt;c_bid_m),1,0)*AN6</f>
        <v>0</v>
      </c>
      <c r="AO32" s="15" t="n">
        <f aca="false">p_bid_bond*s_bid*15/12*AO12*IF(AND(AO$3&gt;=c_cen_start-c_bid_m,MOD(AO$3-(c_cen_start-c_bid_m),15)&lt;c_bid_m),1,0)*AO6</f>
        <v>0</v>
      </c>
      <c r="AP32" s="15" t="n">
        <f aca="false">p_bid_bond*s_bid*15/12*AP12*IF(AND(AP$3&gt;=c_cen_start-c_bid_m,MOD(AP$3-(c_cen_start-c_bid_m),15)&lt;c_bid_m),1,0)*AP6</f>
        <v>0</v>
      </c>
      <c r="AQ32" s="15" t="n">
        <f aca="false">p_bid_bond*s_bid*15/12*AQ12*IF(AND(AQ$3&gt;=c_cen_start-c_bid_m,MOD(AQ$3-(c_cen_start-c_bid_m),15)&lt;c_bid_m),1,0)*AQ6</f>
        <v>0</v>
      </c>
      <c r="AR32" s="15" t="n">
        <f aca="false">p_bid_bond*s_bid*15/12*AR12*IF(AND(AR$3&gt;=c_cen_start-c_bid_m,MOD(AR$3-(c_cen_start-c_bid_m),15)&lt;c_bid_m),1,0)*AR6</f>
        <v>0</v>
      </c>
      <c r="AS32" s="15" t="n">
        <f aca="false">p_bid_bond*s_bid*15/12*AS12*IF(AND(AS$3&gt;=c_cen_start-c_bid_m,MOD(AS$3-(c_cen_start-c_bid_m),15)&lt;c_bid_m),1,0)*AS6</f>
        <v>31773.8251452273</v>
      </c>
      <c r="AT32" s="15" t="n">
        <f aca="false">p_bid_bond*s_bid*15/12*AT12*IF(AND(AT$3&gt;=c_cen_start-c_bid_m,MOD(AT$3-(c_cen_start-c_bid_m),15)&lt;c_bid_m),1,0)*AT6</f>
        <v>31773.8251452273</v>
      </c>
      <c r="AU32" s="15" t="n">
        <f aca="false">p_bid_bond*s_bid*15/12*AU12*IF(AND(AU$3&gt;=c_cen_start-c_bid_m,MOD(AU$3-(c_cen_start-c_bid_m),15)&lt;c_bid_m),1,0)*AU6</f>
        <v>31773.8251452273</v>
      </c>
      <c r="AV32" s="15" t="n">
        <f aca="false">p_bid_bond*s_bid*15/12*AV12*IF(AND(AV$3&gt;=c_cen_start-c_bid_m,MOD(AV$3-(c_cen_start-c_bid_m),15)&lt;c_bid_m),1,0)*AV6</f>
        <v>0</v>
      </c>
      <c r="AW32" s="15" t="n">
        <f aca="false">p_bid_bond*s_bid*15/12*AW12*IF(AND(AW$3&gt;=c_cen_start-c_bid_m,MOD(AW$3-(c_cen_start-c_bid_m),15)&lt;c_bid_m),1,0)*AW6</f>
        <v>0</v>
      </c>
      <c r="AX32" s="15" t="n">
        <f aca="false">p_bid_bond*s_bid*15/12*AX12*IF(AND(AX$3&gt;=c_cen_start-c_bid_m,MOD(AX$3-(c_cen_start-c_bid_m),15)&lt;c_bid_m),1,0)*AX6</f>
        <v>0</v>
      </c>
      <c r="AY32" s="15" t="n">
        <f aca="false">p_bid_bond*s_bid*15/12*AY12*IF(AND(AY$3&gt;=c_cen_start-c_bid_m,MOD(AY$3-(c_cen_start-c_bid_m),15)&lt;c_bid_m),1,0)*AY6</f>
        <v>0</v>
      </c>
      <c r="AZ32" s="15" t="n">
        <f aca="false">p_bid_bond*s_bid*15/12*AZ12*IF(AND(AZ$3&gt;=c_cen_start-c_bid_m,MOD(AZ$3-(c_cen_start-c_bid_m),15)&lt;c_bid_m),1,0)*AZ6</f>
        <v>0</v>
      </c>
      <c r="BA32" s="15" t="n">
        <f aca="false">p_bid_bond*s_bid*15/12*BA12*IF(AND(BA$3&gt;=c_cen_start-c_bid_m,MOD(BA$3-(c_cen_start-c_bid_m),15)&lt;c_bid_m),1,0)*BA6</f>
        <v>0</v>
      </c>
      <c r="BB32" s="15" t="n">
        <f aca="false">p_bid_bond*s_bid*15/12*BB12*IF(AND(BB$3&gt;=c_cen_start-c_bid_m,MOD(BB$3-(c_cen_start-c_bid_m),15)&lt;c_bid_m),1,0)*BB6</f>
        <v>0</v>
      </c>
      <c r="BC32" s="15" t="n">
        <f aca="false">p_bid_bond*s_bid*15/12*BC12*IF(AND(BC$3&gt;=c_cen_start-c_bid_m,MOD(BC$3-(c_cen_start-c_bid_m),15)&lt;c_bid_m),1,0)*BC6</f>
        <v>0</v>
      </c>
      <c r="BD32" s="15" t="n">
        <f aca="false">p_bid_bond*s_bid*15/12*BD12*IF(AND(BD$3&gt;=c_cen_start-c_bid_m,MOD(BD$3-(c_cen_start-c_bid_m),15)&lt;c_bid_m),1,0)*BD6</f>
        <v>0</v>
      </c>
      <c r="BE32" s="15" t="n">
        <f aca="false">p_bid_bond*s_bid*15/12*BE12*IF(AND(BE$3&gt;=c_cen_start-c_bid_m,MOD(BE$3-(c_cen_start-c_bid_m),15)&lt;c_bid_m),1,0)*BE6</f>
        <v>0</v>
      </c>
      <c r="BF32" s="15" t="n">
        <f aca="false">p_bid_bond*s_bid*15/12*BF12*IF(AND(BF$3&gt;=c_cen_start-c_bid_m,MOD(BF$3-(c_cen_start-c_bid_m),15)&lt;c_bid_m),1,0)*BF6</f>
        <v>0</v>
      </c>
      <c r="BG32" s="15" t="n">
        <f aca="false">p_bid_bond*s_bid*15/12*BG12*IF(AND(BG$3&gt;=c_cen_start-c_bid_m,MOD(BG$3-(c_cen_start-c_bid_m),15)&lt;c_bid_m),1,0)*BG6</f>
        <v>0</v>
      </c>
      <c r="BH32" s="15" t="n">
        <f aca="false">p_bid_bond*s_bid*15/12*BH12*IF(AND(BH$3&gt;=c_cen_start-c_bid_m,MOD(BH$3-(c_cen_start-c_bid_m),15)&lt;c_bid_m),1,0)*BH6</f>
        <v>31773.8251452273</v>
      </c>
      <c r="BI32" s="15" t="n">
        <f aca="false">p_bid_bond*s_bid*15/12*BI12*IF(AND(BI$3&gt;=c_cen_start-c_bid_m,MOD(BI$3-(c_cen_start-c_bid_m),15)&lt;c_bid_m),1,0)*BI6</f>
        <v>31773.8251452273</v>
      </c>
      <c r="BJ32" s="15" t="n">
        <f aca="false">p_bid_bond*s_bid*15/12*BJ12*IF(AND(BJ$3&gt;=c_cen_start-c_bid_m,MOD(BJ$3-(c_cen_start-c_bid_m),15)&lt;c_bid_m),1,0)*BJ6</f>
        <v>31773.8251452273</v>
      </c>
      <c r="BK32" s="15" t="n">
        <f aca="false">p_bid_bond*s_bid*15/12*BK12*IF(AND(BK$3&gt;=c_cen_start-c_bid_m,MOD(BK$3-(c_cen_start-c_bid_m),15)&lt;c_bid_m),1,0)*BK6</f>
        <v>0</v>
      </c>
    </row>
    <row r="33" customFormat="false" ht="15" hidden="false" customHeight="true" outlineLevel="0" collapsed="false">
      <c r="A33" s="10" t="s">
        <v>453</v>
      </c>
      <c r="C33" s="15" t="n">
        <v>0</v>
      </c>
      <c r="D33" s="15" t="n">
        <f aca="false">(D31+D32)*p_collat</f>
        <v>0</v>
      </c>
      <c r="E33" s="15" t="n">
        <f aca="false">(E31+E32)*p_collat</f>
        <v>0</v>
      </c>
      <c r="F33" s="15" t="n">
        <f aca="false">(F31+F32)*p_collat</f>
        <v>0</v>
      </c>
      <c r="G33" s="15" t="n">
        <f aca="false">(G31+G32)*p_collat</f>
        <v>0</v>
      </c>
      <c r="H33" s="15" t="n">
        <f aca="false">(H31+H32)*p_collat</f>
        <v>0</v>
      </c>
      <c r="I33" s="15" t="n">
        <f aca="false">(I31+I32)*p_collat</f>
        <v>0</v>
      </c>
      <c r="J33" s="15" t="n">
        <f aca="false">(J31+J32)*p_collat</f>
        <v>0</v>
      </c>
      <c r="K33" s="15" t="n">
        <f aca="false">(K31+K32)*p_collat</f>
        <v>0</v>
      </c>
      <c r="L33" s="15" t="n">
        <f aca="false">(L31+L32)*p_collat</f>
        <v>0</v>
      </c>
      <c r="M33" s="15" t="n">
        <f aca="false">(M31+M32)*p_collat</f>
        <v>0</v>
      </c>
      <c r="N33" s="15" t="n">
        <f aca="false">(N31+N32)*p_collat</f>
        <v>0</v>
      </c>
      <c r="O33" s="15" t="n">
        <f aca="false">(O31+O32)*p_collat</f>
        <v>11497.1077828125</v>
      </c>
      <c r="P33" s="15" t="n">
        <f aca="false">(P31+P32)*p_collat</f>
        <v>11497.1077828125</v>
      </c>
      <c r="Q33" s="15" t="n">
        <f aca="false">(Q31+Q32)*p_collat</f>
        <v>11497.1077828125</v>
      </c>
      <c r="R33" s="15" t="n">
        <f aca="false">(R31+R32)*p_collat</f>
        <v>25145.4978738563</v>
      </c>
      <c r="S33" s="15" t="n">
        <f aca="false">(S31+S32)*p_collat</f>
        <v>25145.4978738563</v>
      </c>
      <c r="T33" s="15" t="n">
        <f aca="false">(T31+T32)*p_collat</f>
        <v>25145.4978738563</v>
      </c>
      <c r="U33" s="15" t="n">
        <f aca="false">(U31+U32)*p_collat</f>
        <v>25145.4978738563</v>
      </c>
      <c r="V33" s="15" t="n">
        <f aca="false">(V31+V32)*p_collat</f>
        <v>25145.4978738563</v>
      </c>
      <c r="W33" s="15" t="n">
        <f aca="false">(W31+W32)*p_collat</f>
        <v>25145.4978738563</v>
      </c>
      <c r="X33" s="15" t="n">
        <f aca="false">(X31+X32)*p_collat</f>
        <v>25145.4978738563</v>
      </c>
      <c r="Y33" s="15" t="n">
        <f aca="false">(Y31+Y32)*p_collat</f>
        <v>25145.4978738563</v>
      </c>
      <c r="Z33" s="15" t="n">
        <f aca="false">(Z31+Z32)*p_collat</f>
        <v>25145.4978738563</v>
      </c>
      <c r="AA33" s="15" t="n">
        <f aca="false">(AA31+AA32)*p_collat</f>
        <v>34746.506152965</v>
      </c>
      <c r="AB33" s="15" t="n">
        <f aca="false">(AB31+AB32)*p_collat</f>
        <v>34746.506152965</v>
      </c>
      <c r="AC33" s="15" t="n">
        <f aca="false">(AC31+AC32)*p_collat</f>
        <v>34746.506152965</v>
      </c>
      <c r="AD33" s="15" t="n">
        <f aca="false">(AD31+AD32)*p_collat</f>
        <v>50633.4187255786</v>
      </c>
      <c r="AE33" s="15" t="n">
        <f aca="false">(AE31+AE32)*p_collat</f>
        <v>50633.4187255786</v>
      </c>
      <c r="AF33" s="15" t="n">
        <f aca="false">(AF31+AF32)*p_collat</f>
        <v>50633.4187255786</v>
      </c>
      <c r="AG33" s="15" t="n">
        <f aca="false">(AG31+AG32)*p_collat</f>
        <v>34746.506152965</v>
      </c>
      <c r="AH33" s="15" t="n">
        <f aca="false">(AH31+AH32)*p_collat</f>
        <v>34746.506152965</v>
      </c>
      <c r="AI33" s="15" t="n">
        <f aca="false">(AI31+AI32)*p_collat</f>
        <v>34746.506152965</v>
      </c>
      <c r="AJ33" s="15" t="n">
        <f aca="false">(AJ31+AJ32)*p_collat</f>
        <v>34746.506152965</v>
      </c>
      <c r="AK33" s="15" t="n">
        <f aca="false">(AK31+AK32)*p_collat</f>
        <v>34746.506152965</v>
      </c>
      <c r="AL33" s="15" t="n">
        <f aca="false">(AL31+AL32)*p_collat</f>
        <v>34746.506152965</v>
      </c>
      <c r="AM33" s="15" t="n">
        <f aca="false">(AM31+AM32)*p_collat</f>
        <v>34746.506152965</v>
      </c>
      <c r="AN33" s="15" t="n">
        <f aca="false">(AN31+AN32)*p_collat</f>
        <v>34746.506152965</v>
      </c>
      <c r="AO33" s="15" t="n">
        <f aca="false">(AO31+AO32)*p_collat</f>
        <v>34746.506152965</v>
      </c>
      <c r="AP33" s="15" t="n">
        <f aca="false">(AP31+AP32)*p_collat</f>
        <v>34746.506152965</v>
      </c>
      <c r="AQ33" s="15" t="n">
        <f aca="false">(AQ31+AQ32)*p_collat</f>
        <v>34746.506152965</v>
      </c>
      <c r="AR33" s="15" t="n">
        <f aca="false">(AR31+AR32)*p_collat</f>
        <v>34746.506152965</v>
      </c>
      <c r="AS33" s="15" t="n">
        <f aca="false">(AS31+AS32)*p_collat</f>
        <v>50633.4187255786</v>
      </c>
      <c r="AT33" s="15" t="n">
        <f aca="false">(AT31+AT32)*p_collat</f>
        <v>50633.4187255786</v>
      </c>
      <c r="AU33" s="15" t="n">
        <f aca="false">(AU31+AU32)*p_collat</f>
        <v>50633.4187255786</v>
      </c>
      <c r="AV33" s="15" t="n">
        <f aca="false">(AV31+AV32)*p_collat</f>
        <v>34746.506152965</v>
      </c>
      <c r="AW33" s="15" t="n">
        <f aca="false">(AW31+AW32)*p_collat</f>
        <v>34746.506152965</v>
      </c>
      <c r="AX33" s="15" t="n">
        <f aca="false">(AX31+AX32)*p_collat</f>
        <v>34746.506152965</v>
      </c>
      <c r="AY33" s="15" t="n">
        <f aca="false">(AY31+AY32)*p_collat</f>
        <v>34746.506152965</v>
      </c>
      <c r="AZ33" s="15" t="n">
        <f aca="false">(AZ31+AZ32)*p_collat</f>
        <v>34746.506152965</v>
      </c>
      <c r="BA33" s="15" t="n">
        <f aca="false">(BA31+BA32)*p_collat</f>
        <v>34746.506152965</v>
      </c>
      <c r="BB33" s="15" t="n">
        <f aca="false">(BB31+BB32)*p_collat</f>
        <v>34746.506152965</v>
      </c>
      <c r="BC33" s="15" t="n">
        <f aca="false">(BC31+BC32)*p_collat</f>
        <v>34746.506152965</v>
      </c>
      <c r="BD33" s="15" t="n">
        <f aca="false">(BD31+BD32)*p_collat</f>
        <v>34746.506152965</v>
      </c>
      <c r="BE33" s="15" t="n">
        <f aca="false">(BE31+BE32)*p_collat</f>
        <v>34746.506152965</v>
      </c>
      <c r="BF33" s="15" t="n">
        <f aca="false">(BF31+BF32)*p_collat</f>
        <v>34746.506152965</v>
      </c>
      <c r="BG33" s="15" t="n">
        <f aca="false">(BG31+BG32)*p_collat</f>
        <v>34746.506152965</v>
      </c>
      <c r="BH33" s="15" t="n">
        <f aca="false">(BH31+BH32)*p_collat</f>
        <v>50633.4187255786</v>
      </c>
      <c r="BI33" s="15" t="n">
        <f aca="false">(BI31+BI32)*p_collat</f>
        <v>50633.4187255786</v>
      </c>
      <c r="BJ33" s="15" t="n">
        <f aca="false">(BJ31+BJ32)*p_collat</f>
        <v>50633.4187255786</v>
      </c>
      <c r="BK33" s="15" t="n">
        <f aca="false">(BK31+BK32)*p_collat</f>
        <v>34746.506152965</v>
      </c>
    </row>
    <row r="34" customFormat="false" ht="15" hidden="false" customHeight="true" outlineLevel="0" collapsed="false">
      <c r="A34" s="10" t="s">
        <v>454</v>
      </c>
      <c r="D34" s="15" t="n">
        <f aca="false">D33-C33</f>
        <v>0</v>
      </c>
      <c r="E34" s="15" t="n">
        <f aca="false">E33-D33</f>
        <v>0</v>
      </c>
      <c r="F34" s="15" t="n">
        <f aca="false">F33-E33</f>
        <v>0</v>
      </c>
      <c r="G34" s="15" t="n">
        <f aca="false">G33-F33</f>
        <v>0</v>
      </c>
      <c r="H34" s="15" t="n">
        <f aca="false">H33-G33</f>
        <v>0</v>
      </c>
      <c r="I34" s="15" t="n">
        <f aca="false">I33-H33</f>
        <v>0</v>
      </c>
      <c r="J34" s="15" t="n">
        <f aca="false">J33-I33</f>
        <v>0</v>
      </c>
      <c r="K34" s="15" t="n">
        <f aca="false">K33-J33</f>
        <v>0</v>
      </c>
      <c r="L34" s="15" t="n">
        <f aca="false">L33-K33</f>
        <v>0</v>
      </c>
      <c r="M34" s="15" t="n">
        <f aca="false">M33-L33</f>
        <v>0</v>
      </c>
      <c r="N34" s="15" t="n">
        <f aca="false">N33-M33</f>
        <v>0</v>
      </c>
      <c r="O34" s="15" t="n">
        <f aca="false">O33-N33</f>
        <v>11497.1077828125</v>
      </c>
      <c r="P34" s="15" t="n">
        <f aca="false">P33-O33</f>
        <v>0</v>
      </c>
      <c r="Q34" s="15" t="n">
        <f aca="false">Q33-P33</f>
        <v>0</v>
      </c>
      <c r="R34" s="15" t="n">
        <f aca="false">R33-Q33</f>
        <v>13648.3900910438</v>
      </c>
      <c r="S34" s="15" t="n">
        <f aca="false">S33-R33</f>
        <v>0</v>
      </c>
      <c r="T34" s="15" t="n">
        <f aca="false">T33-S33</f>
        <v>0</v>
      </c>
      <c r="U34" s="15" t="n">
        <f aca="false">U33-T33</f>
        <v>0</v>
      </c>
      <c r="V34" s="15" t="n">
        <f aca="false">V33-U33</f>
        <v>0</v>
      </c>
      <c r="W34" s="15" t="n">
        <f aca="false">W33-V33</f>
        <v>0</v>
      </c>
      <c r="X34" s="15" t="n">
        <f aca="false">X33-W33</f>
        <v>0</v>
      </c>
      <c r="Y34" s="15" t="n">
        <f aca="false">Y33-X33</f>
        <v>0</v>
      </c>
      <c r="Z34" s="15" t="n">
        <f aca="false">Z33-Y33</f>
        <v>0</v>
      </c>
      <c r="AA34" s="15" t="n">
        <f aca="false">AA33-Z33</f>
        <v>9601.00827910875</v>
      </c>
      <c r="AB34" s="15" t="n">
        <f aca="false">AB33-AA33</f>
        <v>0</v>
      </c>
      <c r="AC34" s="15" t="n">
        <f aca="false">AC33-AB33</f>
        <v>0</v>
      </c>
      <c r="AD34" s="15" t="n">
        <f aca="false">AD33-AC33</f>
        <v>15886.9125726136</v>
      </c>
      <c r="AE34" s="15" t="n">
        <f aca="false">AE33-AD33</f>
        <v>0</v>
      </c>
      <c r="AF34" s="15" t="n">
        <f aca="false">AF33-AE33</f>
        <v>0</v>
      </c>
      <c r="AG34" s="15" t="n">
        <f aca="false">AG33-AF33</f>
        <v>-15886.9125726136</v>
      </c>
      <c r="AH34" s="15" t="n">
        <f aca="false">AH33-AG33</f>
        <v>0</v>
      </c>
      <c r="AI34" s="15" t="n">
        <f aca="false">AI33-AH33</f>
        <v>0</v>
      </c>
      <c r="AJ34" s="15" t="n">
        <f aca="false">AJ33-AI33</f>
        <v>0</v>
      </c>
      <c r="AK34" s="15" t="n">
        <f aca="false">AK33-AJ33</f>
        <v>0</v>
      </c>
      <c r="AL34" s="15" t="n">
        <f aca="false">AL33-AK33</f>
        <v>0</v>
      </c>
      <c r="AM34" s="15" t="n">
        <f aca="false">AM33-AL33</f>
        <v>0</v>
      </c>
      <c r="AN34" s="15" t="n">
        <f aca="false">AN33-AM33</f>
        <v>0</v>
      </c>
      <c r="AO34" s="15" t="n">
        <f aca="false">AO33-AN33</f>
        <v>0</v>
      </c>
      <c r="AP34" s="15" t="n">
        <f aca="false">AP33-AO33</f>
        <v>0</v>
      </c>
      <c r="AQ34" s="15" t="n">
        <f aca="false">AQ33-AP33</f>
        <v>0</v>
      </c>
      <c r="AR34" s="15" t="n">
        <f aca="false">AR33-AQ33</f>
        <v>0</v>
      </c>
      <c r="AS34" s="15" t="n">
        <f aca="false">AS33-AR33</f>
        <v>15886.9125726136</v>
      </c>
      <c r="AT34" s="15" t="n">
        <f aca="false">AT33-AS33</f>
        <v>0</v>
      </c>
      <c r="AU34" s="15" t="n">
        <f aca="false">AU33-AT33</f>
        <v>0</v>
      </c>
      <c r="AV34" s="15" t="n">
        <f aca="false">AV33-AU33</f>
        <v>-15886.9125726136</v>
      </c>
      <c r="AW34" s="15" t="n">
        <f aca="false">AW33-AV33</f>
        <v>0</v>
      </c>
      <c r="AX34" s="15" t="n">
        <f aca="false">AX33-AW33</f>
        <v>0</v>
      </c>
      <c r="AY34" s="15" t="n">
        <f aca="false">AY33-AX33</f>
        <v>0</v>
      </c>
      <c r="AZ34" s="15" t="n">
        <f aca="false">AZ33-AY33</f>
        <v>0</v>
      </c>
      <c r="BA34" s="15" t="n">
        <f aca="false">BA33-AZ33</f>
        <v>0</v>
      </c>
      <c r="BB34" s="15" t="n">
        <f aca="false">BB33-BA33</f>
        <v>0</v>
      </c>
      <c r="BC34" s="15" t="n">
        <f aca="false">BC33-BB33</f>
        <v>0</v>
      </c>
      <c r="BD34" s="15" t="n">
        <f aca="false">BD33-BC33</f>
        <v>0</v>
      </c>
      <c r="BE34" s="15" t="n">
        <f aca="false">BE33-BD33</f>
        <v>0</v>
      </c>
      <c r="BF34" s="15" t="n">
        <f aca="false">BF33-BE33</f>
        <v>0</v>
      </c>
      <c r="BG34" s="15" t="n">
        <f aca="false">BG33-BF33</f>
        <v>0</v>
      </c>
      <c r="BH34" s="15" t="n">
        <f aca="false">BH33-BG33</f>
        <v>15886.9125726136</v>
      </c>
      <c r="BI34" s="15" t="n">
        <f aca="false">BI33-BH33</f>
        <v>0</v>
      </c>
      <c r="BJ34" s="15" t="n">
        <f aca="false">BJ33-BI33</f>
        <v>0</v>
      </c>
      <c r="BK34" s="15" t="n">
        <f aca="false">BK33-BJ33</f>
        <v>-15886.9125726136</v>
      </c>
    </row>
    <row r="35" customFormat="false" ht="15" hidden="false" customHeight="true" outlineLevel="0" collapsed="false">
      <c r="A35" s="10" t="s">
        <v>455</v>
      </c>
      <c r="D35" s="15" t="n">
        <f aca="false">(D31+D32)*p_bond_prem/12</f>
        <v>0</v>
      </c>
      <c r="E35" s="15" t="n">
        <f aca="false">(E31+E32)*p_bond_prem/12</f>
        <v>0</v>
      </c>
      <c r="F35" s="15" t="n">
        <f aca="false">(F31+F32)*p_bond_prem/12</f>
        <v>0</v>
      </c>
      <c r="G35" s="15" t="n">
        <f aca="false">(G31+G32)*p_bond_prem/12</f>
        <v>0</v>
      </c>
      <c r="H35" s="15" t="n">
        <f aca="false">(H31+H32)*p_bond_prem/12</f>
        <v>0</v>
      </c>
      <c r="I35" s="15" t="n">
        <f aca="false">(I31+I32)*p_bond_prem/12</f>
        <v>0</v>
      </c>
      <c r="J35" s="15" t="n">
        <f aca="false">(J31+J32)*p_bond_prem/12</f>
        <v>0</v>
      </c>
      <c r="K35" s="15" t="n">
        <f aca="false">(K31+K32)*p_bond_prem/12</f>
        <v>0</v>
      </c>
      <c r="L35" s="15" t="n">
        <f aca="false">(L31+L32)*p_bond_prem/12</f>
        <v>0</v>
      </c>
      <c r="M35" s="15" t="n">
        <f aca="false">(M31+M32)*p_bond_prem/12</f>
        <v>0</v>
      </c>
      <c r="N35" s="15" t="n">
        <f aca="false">(N31+N32)*p_bond_prem/12</f>
        <v>0</v>
      </c>
      <c r="O35" s="15" t="n">
        <f aca="false">(O31+O32)*p_bond_prem/12</f>
        <v>30.6589540875</v>
      </c>
      <c r="P35" s="15" t="n">
        <f aca="false">(P31+P32)*p_bond_prem/12</f>
        <v>30.6589540875</v>
      </c>
      <c r="Q35" s="15" t="n">
        <f aca="false">(Q31+Q32)*p_bond_prem/12</f>
        <v>30.6589540875</v>
      </c>
      <c r="R35" s="15" t="n">
        <f aca="false">(R31+R32)*p_bond_prem/12</f>
        <v>67.05466099695</v>
      </c>
      <c r="S35" s="15" t="n">
        <f aca="false">(S31+S32)*p_bond_prem/12</f>
        <v>67.05466099695</v>
      </c>
      <c r="T35" s="15" t="n">
        <f aca="false">(T31+T32)*p_bond_prem/12</f>
        <v>67.05466099695</v>
      </c>
      <c r="U35" s="15" t="n">
        <f aca="false">(U31+U32)*p_bond_prem/12</f>
        <v>67.05466099695</v>
      </c>
      <c r="V35" s="15" t="n">
        <f aca="false">(V31+V32)*p_bond_prem/12</f>
        <v>67.05466099695</v>
      </c>
      <c r="W35" s="15" t="n">
        <f aca="false">(W31+W32)*p_bond_prem/12</f>
        <v>67.05466099695</v>
      </c>
      <c r="X35" s="15" t="n">
        <f aca="false">(X31+X32)*p_bond_prem/12</f>
        <v>67.05466099695</v>
      </c>
      <c r="Y35" s="15" t="n">
        <f aca="false">(Y31+Y32)*p_bond_prem/12</f>
        <v>67.05466099695</v>
      </c>
      <c r="Z35" s="15" t="n">
        <f aca="false">(Z31+Z32)*p_bond_prem/12</f>
        <v>67.05466099695</v>
      </c>
      <c r="AA35" s="15" t="n">
        <f aca="false">(AA31+AA32)*p_bond_prem/12</f>
        <v>92.65734974124</v>
      </c>
      <c r="AB35" s="15" t="n">
        <f aca="false">(AB31+AB32)*p_bond_prem/12</f>
        <v>92.65734974124</v>
      </c>
      <c r="AC35" s="15" t="n">
        <f aca="false">(AC31+AC32)*p_bond_prem/12</f>
        <v>92.65734974124</v>
      </c>
      <c r="AD35" s="15" t="n">
        <f aca="false">(AD31+AD32)*p_bond_prem/12</f>
        <v>135.022449934876</v>
      </c>
      <c r="AE35" s="15" t="n">
        <f aca="false">(AE31+AE32)*p_bond_prem/12</f>
        <v>135.022449934876</v>
      </c>
      <c r="AF35" s="15" t="n">
        <f aca="false">(AF31+AF32)*p_bond_prem/12</f>
        <v>135.022449934876</v>
      </c>
      <c r="AG35" s="15" t="n">
        <f aca="false">(AG31+AG32)*p_bond_prem/12</f>
        <v>92.65734974124</v>
      </c>
      <c r="AH35" s="15" t="n">
        <f aca="false">(AH31+AH32)*p_bond_prem/12</f>
        <v>92.65734974124</v>
      </c>
      <c r="AI35" s="15" t="n">
        <f aca="false">(AI31+AI32)*p_bond_prem/12</f>
        <v>92.65734974124</v>
      </c>
      <c r="AJ35" s="15" t="n">
        <f aca="false">(AJ31+AJ32)*p_bond_prem/12</f>
        <v>92.65734974124</v>
      </c>
      <c r="AK35" s="15" t="n">
        <f aca="false">(AK31+AK32)*p_bond_prem/12</f>
        <v>92.65734974124</v>
      </c>
      <c r="AL35" s="15" t="n">
        <f aca="false">(AL31+AL32)*p_bond_prem/12</f>
        <v>92.65734974124</v>
      </c>
      <c r="AM35" s="15" t="n">
        <f aca="false">(AM31+AM32)*p_bond_prem/12</f>
        <v>92.65734974124</v>
      </c>
      <c r="AN35" s="15" t="n">
        <f aca="false">(AN31+AN32)*p_bond_prem/12</f>
        <v>92.65734974124</v>
      </c>
      <c r="AO35" s="15" t="n">
        <f aca="false">(AO31+AO32)*p_bond_prem/12</f>
        <v>92.65734974124</v>
      </c>
      <c r="AP35" s="15" t="n">
        <f aca="false">(AP31+AP32)*p_bond_prem/12</f>
        <v>92.65734974124</v>
      </c>
      <c r="AQ35" s="15" t="n">
        <f aca="false">(AQ31+AQ32)*p_bond_prem/12</f>
        <v>92.65734974124</v>
      </c>
      <c r="AR35" s="15" t="n">
        <f aca="false">(AR31+AR32)*p_bond_prem/12</f>
        <v>92.65734974124</v>
      </c>
      <c r="AS35" s="15" t="n">
        <f aca="false">(AS31+AS32)*p_bond_prem/12</f>
        <v>135.022449934876</v>
      </c>
      <c r="AT35" s="15" t="n">
        <f aca="false">(AT31+AT32)*p_bond_prem/12</f>
        <v>135.022449934876</v>
      </c>
      <c r="AU35" s="15" t="n">
        <f aca="false">(AU31+AU32)*p_bond_prem/12</f>
        <v>135.022449934876</v>
      </c>
      <c r="AV35" s="15" t="n">
        <f aca="false">(AV31+AV32)*p_bond_prem/12</f>
        <v>92.65734974124</v>
      </c>
      <c r="AW35" s="15" t="n">
        <f aca="false">(AW31+AW32)*p_bond_prem/12</f>
        <v>92.65734974124</v>
      </c>
      <c r="AX35" s="15" t="n">
        <f aca="false">(AX31+AX32)*p_bond_prem/12</f>
        <v>92.65734974124</v>
      </c>
      <c r="AY35" s="15" t="n">
        <f aca="false">(AY31+AY32)*p_bond_prem/12</f>
        <v>92.65734974124</v>
      </c>
      <c r="AZ35" s="15" t="n">
        <f aca="false">(AZ31+AZ32)*p_bond_prem/12</f>
        <v>92.65734974124</v>
      </c>
      <c r="BA35" s="15" t="n">
        <f aca="false">(BA31+BA32)*p_bond_prem/12</f>
        <v>92.65734974124</v>
      </c>
      <c r="BB35" s="15" t="n">
        <f aca="false">(BB31+BB32)*p_bond_prem/12</f>
        <v>92.65734974124</v>
      </c>
      <c r="BC35" s="15" t="n">
        <f aca="false">(BC31+BC32)*p_bond_prem/12</f>
        <v>92.65734974124</v>
      </c>
      <c r="BD35" s="15" t="n">
        <f aca="false">(BD31+BD32)*p_bond_prem/12</f>
        <v>92.65734974124</v>
      </c>
      <c r="BE35" s="15" t="n">
        <f aca="false">(BE31+BE32)*p_bond_prem/12</f>
        <v>92.65734974124</v>
      </c>
      <c r="BF35" s="15" t="n">
        <f aca="false">(BF31+BF32)*p_bond_prem/12</f>
        <v>92.65734974124</v>
      </c>
      <c r="BG35" s="15" t="n">
        <f aca="false">(BG31+BG32)*p_bond_prem/12</f>
        <v>92.65734974124</v>
      </c>
      <c r="BH35" s="15" t="n">
        <f aca="false">(BH31+BH32)*p_bond_prem/12</f>
        <v>135.022449934876</v>
      </c>
      <c r="BI35" s="15" t="n">
        <f aca="false">(BI31+BI32)*p_bond_prem/12</f>
        <v>135.022449934876</v>
      </c>
      <c r="BJ35" s="15" t="n">
        <f aca="false">(BJ31+BJ32)*p_bond_prem/12</f>
        <v>135.022449934876</v>
      </c>
      <c r="BK35" s="15" t="n">
        <f aca="false">(BK31+BK32)*p_bond_prem/12</f>
        <v>92.65734974124</v>
      </c>
    </row>
    <row r="36" customFormat="false" ht="15" hidden="false" customHeight="true" outlineLevel="0" collapsed="false">
      <c r="A36" s="10" t="s">
        <v>456</v>
      </c>
      <c r="D36" s="15" t="n">
        <f aca="false">p_fact_share*D15*(1-p_baddebt)*p_fact_cost*c_dso_m</f>
        <v>0</v>
      </c>
      <c r="E36" s="15" t="n">
        <f aca="false">p_fact_share*E15*(1-p_baddebt)*p_fact_cost*c_dso_m</f>
        <v>0</v>
      </c>
      <c r="F36" s="15" t="n">
        <f aca="false">p_fact_share*F15*(1-p_baddebt)*p_fact_cost*c_dso_m</f>
        <v>0</v>
      </c>
      <c r="G36" s="15" t="n">
        <f aca="false">p_fact_share*G15*(1-p_baddebt)*p_fact_cost*c_dso_m</f>
        <v>0</v>
      </c>
      <c r="H36" s="15" t="n">
        <f aca="false">p_fact_share*H15*(1-p_baddebt)*p_fact_cost*c_dso_m</f>
        <v>0</v>
      </c>
      <c r="I36" s="15" t="n">
        <f aca="false">p_fact_share*I15*(1-p_baddebt)*p_fact_cost*c_dso_m</f>
        <v>0</v>
      </c>
      <c r="J36" s="15" t="n">
        <f aca="false">p_fact_share*J15*(1-p_baddebt)*p_fact_cost*c_dso_m</f>
        <v>0</v>
      </c>
      <c r="K36" s="15" t="n">
        <f aca="false">p_fact_share*K15*(1-p_baddebt)*p_fact_cost*c_dso_m</f>
        <v>0</v>
      </c>
      <c r="L36" s="15" t="n">
        <f aca="false">p_fact_share*L15*(1-p_baddebt)*p_fact_cost*c_dso_m</f>
        <v>0</v>
      </c>
      <c r="M36" s="15" t="n">
        <f aca="false">p_fact_share*M15*(1-p_baddebt)*p_fact_cost*c_dso_m</f>
        <v>0</v>
      </c>
      <c r="N36" s="15" t="n">
        <f aca="false">p_fact_share*N15*(1-p_baddebt)*p_fact_cost*c_dso_m</f>
        <v>0</v>
      </c>
      <c r="O36" s="15" t="n">
        <f aca="false">p_fact_share*O15*(1-p_baddebt)*p_fact_cost*c_dso_m</f>
        <v>0</v>
      </c>
      <c r="P36" s="15" t="n">
        <f aca="false">p_fact_share*P15*(1-p_baddebt)*p_fact_cost*c_dso_m</f>
        <v>0</v>
      </c>
      <c r="Q36" s="15" t="n">
        <f aca="false">p_fact_share*Q15*(1-p_baddebt)*p_fact_cost*c_dso_m</f>
        <v>0</v>
      </c>
      <c r="R36" s="15" t="n">
        <f aca="false">p_fact_share*R15*(1-p_baddebt)*p_fact_cost*c_dso_m</f>
        <v>0</v>
      </c>
      <c r="S36" s="15" t="n">
        <f aca="false">p_fact_share*S15*(1-p_baddebt)*p_fact_cost*c_dso_m</f>
        <v>0</v>
      </c>
      <c r="T36" s="15" t="n">
        <f aca="false">p_fact_share*T15*(1-p_baddebt)*p_fact_cost*c_dso_m</f>
        <v>0</v>
      </c>
      <c r="U36" s="15" t="n">
        <f aca="false">p_fact_share*U15*(1-p_baddebt)*p_fact_cost*c_dso_m</f>
        <v>0</v>
      </c>
      <c r="V36" s="15" t="n">
        <f aca="false">p_fact_share*V15*(1-p_baddebt)*p_fact_cost*c_dso_m</f>
        <v>0</v>
      </c>
      <c r="W36" s="15" t="n">
        <f aca="false">p_fact_share*W15*(1-p_baddebt)*p_fact_cost*c_dso_m</f>
        <v>0</v>
      </c>
      <c r="X36" s="15" t="n">
        <f aca="false">p_fact_share*X15*(1-p_baddebt)*p_fact_cost*c_dso_m</f>
        <v>0</v>
      </c>
      <c r="Y36" s="15" t="n">
        <f aca="false">p_fact_share*Y15*(1-p_baddebt)*p_fact_cost*c_dso_m</f>
        <v>0</v>
      </c>
      <c r="Z36" s="15" t="n">
        <f aca="false">p_fact_share*Z15*(1-p_baddebt)*p_fact_cost*c_dso_m</f>
        <v>0</v>
      </c>
      <c r="AA36" s="15" t="n">
        <f aca="false">p_fact_share*AA15*(1-p_baddebt)*p_fact_cost*c_dso_m</f>
        <v>0</v>
      </c>
      <c r="AB36" s="15" t="n">
        <f aca="false">p_fact_share*AB15*(1-p_baddebt)*p_fact_cost*c_dso_m</f>
        <v>0</v>
      </c>
      <c r="AC36" s="15" t="n">
        <f aca="false">p_fact_share*AC15*(1-p_baddebt)*p_fact_cost*c_dso_m</f>
        <v>0</v>
      </c>
      <c r="AD36" s="15" t="n">
        <f aca="false">p_fact_share*AD15*(1-p_baddebt)*p_fact_cost*c_dso_m</f>
        <v>0</v>
      </c>
      <c r="AE36" s="15" t="n">
        <f aca="false">p_fact_share*AE15*(1-p_baddebt)*p_fact_cost*c_dso_m</f>
        <v>0</v>
      </c>
      <c r="AF36" s="15" t="n">
        <f aca="false">p_fact_share*AF15*(1-p_baddebt)*p_fact_cost*c_dso_m</f>
        <v>0</v>
      </c>
      <c r="AG36" s="15" t="n">
        <f aca="false">p_fact_share*AG15*(1-p_baddebt)*p_fact_cost*c_dso_m</f>
        <v>0</v>
      </c>
      <c r="AH36" s="15" t="n">
        <f aca="false">p_fact_share*AH15*(1-p_baddebt)*p_fact_cost*c_dso_m</f>
        <v>0</v>
      </c>
      <c r="AI36" s="15" t="n">
        <f aca="false">p_fact_share*AI15*(1-p_baddebt)*p_fact_cost*c_dso_m</f>
        <v>0</v>
      </c>
      <c r="AJ36" s="15" t="n">
        <f aca="false">p_fact_share*AJ15*(1-p_baddebt)*p_fact_cost*c_dso_m</f>
        <v>0</v>
      </c>
      <c r="AK36" s="15" t="n">
        <f aca="false">p_fact_share*AK15*(1-p_baddebt)*p_fact_cost*c_dso_m</f>
        <v>0</v>
      </c>
      <c r="AL36" s="15" t="n">
        <f aca="false">p_fact_share*AL15*(1-p_baddebt)*p_fact_cost*c_dso_m</f>
        <v>0</v>
      </c>
      <c r="AM36" s="15" t="n">
        <f aca="false">p_fact_share*AM15*(1-p_baddebt)*p_fact_cost*c_dso_m</f>
        <v>0</v>
      </c>
      <c r="AN36" s="15" t="n">
        <f aca="false">p_fact_share*AN15*(1-p_baddebt)*p_fact_cost*c_dso_m</f>
        <v>0</v>
      </c>
      <c r="AO36" s="15" t="n">
        <f aca="false">p_fact_share*AO15*(1-p_baddebt)*p_fact_cost*c_dso_m</f>
        <v>0</v>
      </c>
      <c r="AP36" s="15" t="n">
        <f aca="false">p_fact_share*AP15*(1-p_baddebt)*p_fact_cost*c_dso_m</f>
        <v>0</v>
      </c>
      <c r="AQ36" s="15" t="n">
        <f aca="false">p_fact_share*AQ15*(1-p_baddebt)*p_fact_cost*c_dso_m</f>
        <v>0</v>
      </c>
      <c r="AR36" s="15" t="n">
        <f aca="false">p_fact_share*AR15*(1-p_baddebt)*p_fact_cost*c_dso_m</f>
        <v>0</v>
      </c>
      <c r="AS36" s="15" t="n">
        <f aca="false">p_fact_share*AS15*(1-p_baddebt)*p_fact_cost*c_dso_m</f>
        <v>0</v>
      </c>
      <c r="AT36" s="15" t="n">
        <f aca="false">p_fact_share*AT15*(1-p_baddebt)*p_fact_cost*c_dso_m</f>
        <v>0</v>
      </c>
      <c r="AU36" s="15" t="n">
        <f aca="false">p_fact_share*AU15*(1-p_baddebt)*p_fact_cost*c_dso_m</f>
        <v>0</v>
      </c>
      <c r="AV36" s="15" t="n">
        <f aca="false">p_fact_share*AV15*(1-p_baddebt)*p_fact_cost*c_dso_m</f>
        <v>0</v>
      </c>
      <c r="AW36" s="15" t="n">
        <f aca="false">p_fact_share*AW15*(1-p_baddebt)*p_fact_cost*c_dso_m</f>
        <v>0</v>
      </c>
      <c r="AX36" s="15" t="n">
        <f aca="false">p_fact_share*AX15*(1-p_baddebt)*p_fact_cost*c_dso_m</f>
        <v>0</v>
      </c>
      <c r="AY36" s="15" t="n">
        <f aca="false">p_fact_share*AY15*(1-p_baddebt)*p_fact_cost*c_dso_m</f>
        <v>0</v>
      </c>
      <c r="AZ36" s="15" t="n">
        <f aca="false">p_fact_share*AZ15*(1-p_baddebt)*p_fact_cost*c_dso_m</f>
        <v>0</v>
      </c>
      <c r="BA36" s="15" t="n">
        <f aca="false">p_fact_share*BA15*(1-p_baddebt)*p_fact_cost*c_dso_m</f>
        <v>0</v>
      </c>
      <c r="BB36" s="15" t="n">
        <f aca="false">p_fact_share*BB15*(1-p_baddebt)*p_fact_cost*c_dso_m</f>
        <v>0</v>
      </c>
      <c r="BC36" s="15" t="n">
        <f aca="false">p_fact_share*BC15*(1-p_baddebt)*p_fact_cost*c_dso_m</f>
        <v>0</v>
      </c>
      <c r="BD36" s="15" t="n">
        <f aca="false">p_fact_share*BD15*(1-p_baddebt)*p_fact_cost*c_dso_m</f>
        <v>0</v>
      </c>
      <c r="BE36" s="15" t="n">
        <f aca="false">p_fact_share*BE15*(1-p_baddebt)*p_fact_cost*c_dso_m</f>
        <v>0</v>
      </c>
      <c r="BF36" s="15" t="n">
        <f aca="false">p_fact_share*BF15*(1-p_baddebt)*p_fact_cost*c_dso_m</f>
        <v>0</v>
      </c>
      <c r="BG36" s="15" t="n">
        <f aca="false">p_fact_share*BG15*(1-p_baddebt)*p_fact_cost*c_dso_m</f>
        <v>0</v>
      </c>
      <c r="BH36" s="15" t="n">
        <f aca="false">p_fact_share*BH15*(1-p_baddebt)*p_fact_cost*c_dso_m</f>
        <v>0</v>
      </c>
      <c r="BI36" s="15" t="n">
        <f aca="false">p_fact_share*BI15*(1-p_baddebt)*p_fact_cost*c_dso_m</f>
        <v>0</v>
      </c>
      <c r="BJ36" s="15" t="n">
        <f aca="false">p_fact_share*BJ15*(1-p_baddebt)*p_fact_cost*c_dso_m</f>
        <v>0</v>
      </c>
      <c r="BK36" s="15" t="n">
        <f aca="false">p_fact_share*BK15*(1-p_baddebt)*p_fact_cost*c_dso_m</f>
        <v>0</v>
      </c>
    </row>
    <row r="37" customFormat="false" ht="15" hidden="false" customHeight="true" outlineLevel="0" collapsed="false">
      <c r="A37" s="10" t="s">
        <v>457</v>
      </c>
      <c r="D37" s="15" t="n">
        <f aca="false">IF(D$3=ROUND(p_stop_det,0)+1,INDEX($D$19:$BK$19,1,ROUND(p_stop_det,0))*(1-p_inv_liq),0)</f>
        <v>0</v>
      </c>
      <c r="E37" s="15" t="n">
        <f aca="false">IF(E$3=ROUND(p_stop_det,0)+1,INDEX($D$19:$BK$19,1,ROUND(p_stop_det,0))*(1-p_inv_liq),0)</f>
        <v>0</v>
      </c>
      <c r="F37" s="15" t="n">
        <f aca="false">IF(F$3=ROUND(p_stop_det,0)+1,INDEX($D$19:$BK$19,1,ROUND(p_stop_det,0))*(1-p_inv_liq),0)</f>
        <v>0</v>
      </c>
      <c r="G37" s="15" t="n">
        <f aca="false">IF(G$3=ROUND(p_stop_det,0)+1,INDEX($D$19:$BK$19,1,ROUND(p_stop_det,0))*(1-p_inv_liq),0)</f>
        <v>0</v>
      </c>
      <c r="H37" s="15" t="n">
        <f aca="false">IF(H$3=ROUND(p_stop_det,0)+1,INDEX($D$19:$BK$19,1,ROUND(p_stop_det,0))*(1-p_inv_liq),0)</f>
        <v>0</v>
      </c>
      <c r="I37" s="15" t="n">
        <f aca="false">IF(I$3=ROUND(p_stop_det,0)+1,INDEX($D$19:$BK$19,1,ROUND(p_stop_det,0))*(1-p_inv_liq),0)</f>
        <v>0</v>
      </c>
      <c r="J37" s="15" t="n">
        <f aca="false">IF(J$3=ROUND(p_stop_det,0)+1,INDEX($D$19:$BK$19,1,ROUND(p_stop_det,0))*(1-p_inv_liq),0)</f>
        <v>0</v>
      </c>
      <c r="K37" s="15" t="n">
        <f aca="false">IF(K$3=ROUND(p_stop_det,0)+1,INDEX($D$19:$BK$19,1,ROUND(p_stop_det,0))*(1-p_inv_liq),0)</f>
        <v>0</v>
      </c>
      <c r="L37" s="15" t="n">
        <f aca="false">IF(L$3=ROUND(p_stop_det,0)+1,INDEX($D$19:$BK$19,1,ROUND(p_stop_det,0))*(1-p_inv_liq),0)</f>
        <v>0</v>
      </c>
      <c r="M37" s="15" t="n">
        <f aca="false">IF(M$3=ROUND(p_stop_det,0)+1,INDEX($D$19:$BK$19,1,ROUND(p_stop_det,0))*(1-p_inv_liq),0)</f>
        <v>0</v>
      </c>
      <c r="N37" s="15" t="n">
        <f aca="false">IF(N$3=ROUND(p_stop_det,0)+1,INDEX($D$19:$BK$19,1,ROUND(p_stop_det,0))*(1-p_inv_liq),0)</f>
        <v>0</v>
      </c>
      <c r="O37" s="15" t="n">
        <f aca="false">IF(O$3=ROUND(p_stop_det,0)+1,INDEX($D$19:$BK$19,1,ROUND(p_stop_det,0))*(1-p_inv_liq),0)</f>
        <v>0</v>
      </c>
      <c r="P37" s="15" t="n">
        <f aca="false">IF(P$3=ROUND(p_stop_det,0)+1,INDEX($D$19:$BK$19,1,ROUND(p_stop_det,0))*(1-p_inv_liq),0)</f>
        <v>0</v>
      </c>
      <c r="Q37" s="15" t="n">
        <f aca="false">IF(Q$3=ROUND(p_stop_det,0)+1,INDEX($D$19:$BK$19,1,ROUND(p_stop_det,0))*(1-p_inv_liq),0)</f>
        <v>0</v>
      </c>
      <c r="R37" s="15" t="n">
        <f aca="false">IF(R$3=ROUND(p_stop_det,0)+1,INDEX($D$19:$BK$19,1,ROUND(p_stop_det,0))*(1-p_inv_liq),0)</f>
        <v>0</v>
      </c>
      <c r="S37" s="15" t="n">
        <f aca="false">IF(S$3=ROUND(p_stop_det,0)+1,INDEX($D$19:$BK$19,1,ROUND(p_stop_det,0))*(1-p_inv_liq),0)</f>
        <v>0</v>
      </c>
      <c r="T37" s="15" t="n">
        <f aca="false">IF(T$3=ROUND(p_stop_det,0)+1,INDEX($D$19:$BK$19,1,ROUND(p_stop_det,0))*(1-p_inv_liq),0)</f>
        <v>0</v>
      </c>
      <c r="U37" s="15" t="n">
        <f aca="false">IF(U$3=ROUND(p_stop_det,0)+1,INDEX($D$19:$BK$19,1,ROUND(p_stop_det,0))*(1-p_inv_liq),0)</f>
        <v>0</v>
      </c>
      <c r="V37" s="15" t="n">
        <f aca="false">IF(V$3=ROUND(p_stop_det,0)+1,INDEX($D$19:$BK$19,1,ROUND(p_stop_det,0))*(1-p_inv_liq),0)</f>
        <v>0</v>
      </c>
      <c r="W37" s="15" t="n">
        <f aca="false">IF(W$3=ROUND(p_stop_det,0)+1,INDEX($D$19:$BK$19,1,ROUND(p_stop_det,0))*(1-p_inv_liq),0)</f>
        <v>0</v>
      </c>
      <c r="X37" s="15" t="n">
        <f aca="false">IF(X$3=ROUND(p_stop_det,0)+1,INDEX($D$19:$BK$19,1,ROUND(p_stop_det,0))*(1-p_inv_liq),0)</f>
        <v>0</v>
      </c>
      <c r="Y37" s="15" t="n">
        <f aca="false">IF(Y$3=ROUND(p_stop_det,0)+1,INDEX($D$19:$BK$19,1,ROUND(p_stop_det,0))*(1-p_inv_liq),0)</f>
        <v>0</v>
      </c>
      <c r="Z37" s="15" t="n">
        <f aca="false">IF(Z$3=ROUND(p_stop_det,0)+1,INDEX($D$19:$BK$19,1,ROUND(p_stop_det,0))*(1-p_inv_liq),0)</f>
        <v>0</v>
      </c>
      <c r="AA37" s="15" t="n">
        <f aca="false">IF(AA$3=ROUND(p_stop_det,0)+1,INDEX($D$19:$BK$19,1,ROUND(p_stop_det,0))*(1-p_inv_liq),0)</f>
        <v>0</v>
      </c>
      <c r="AB37" s="15" t="n">
        <f aca="false">IF(AB$3=ROUND(p_stop_det,0)+1,INDEX($D$19:$BK$19,1,ROUND(p_stop_det,0))*(1-p_inv_liq),0)</f>
        <v>0</v>
      </c>
      <c r="AC37" s="15" t="n">
        <f aca="false">IF(AC$3=ROUND(p_stop_det,0)+1,INDEX($D$19:$BK$19,1,ROUND(p_stop_det,0))*(1-p_inv_liq),0)</f>
        <v>0</v>
      </c>
      <c r="AD37" s="15" t="n">
        <f aca="false">IF(AD$3=ROUND(p_stop_det,0)+1,INDEX($D$19:$BK$19,1,ROUND(p_stop_det,0))*(1-p_inv_liq),0)</f>
        <v>0</v>
      </c>
      <c r="AE37" s="15" t="n">
        <f aca="false">IF(AE$3=ROUND(p_stop_det,0)+1,INDEX($D$19:$BK$19,1,ROUND(p_stop_det,0))*(1-p_inv_liq),0)</f>
        <v>0</v>
      </c>
      <c r="AF37" s="15" t="n">
        <f aca="false">IF(AF$3=ROUND(p_stop_det,0)+1,INDEX($D$19:$BK$19,1,ROUND(p_stop_det,0))*(1-p_inv_liq),0)</f>
        <v>0</v>
      </c>
      <c r="AG37" s="15" t="n">
        <f aca="false">IF(AG$3=ROUND(p_stop_det,0)+1,INDEX($D$19:$BK$19,1,ROUND(p_stop_det,0))*(1-p_inv_liq),0)</f>
        <v>0</v>
      </c>
      <c r="AH37" s="15" t="n">
        <f aca="false">IF(AH$3=ROUND(p_stop_det,0)+1,INDEX($D$19:$BK$19,1,ROUND(p_stop_det,0))*(1-p_inv_liq),0)</f>
        <v>0</v>
      </c>
      <c r="AI37" s="15" t="n">
        <f aca="false">IF(AI$3=ROUND(p_stop_det,0)+1,INDEX($D$19:$BK$19,1,ROUND(p_stop_det,0))*(1-p_inv_liq),0)</f>
        <v>0</v>
      </c>
      <c r="AJ37" s="15" t="n">
        <f aca="false">IF(AJ$3=ROUND(p_stop_det,0)+1,INDEX($D$19:$BK$19,1,ROUND(p_stop_det,0))*(1-p_inv_liq),0)</f>
        <v>0</v>
      </c>
      <c r="AK37" s="15" t="n">
        <f aca="false">IF(AK$3=ROUND(p_stop_det,0)+1,INDEX($D$19:$BK$19,1,ROUND(p_stop_det,0))*(1-p_inv_liq),0)</f>
        <v>0</v>
      </c>
      <c r="AL37" s="15" t="n">
        <f aca="false">IF(AL$3=ROUND(p_stop_det,0)+1,INDEX($D$19:$BK$19,1,ROUND(p_stop_det,0))*(1-p_inv_liq),0)</f>
        <v>0</v>
      </c>
      <c r="AM37" s="15" t="n">
        <f aca="false">IF(AM$3=ROUND(p_stop_det,0)+1,INDEX($D$19:$BK$19,1,ROUND(p_stop_det,0))*(1-p_inv_liq),0)</f>
        <v>0</v>
      </c>
      <c r="AN37" s="15" t="n">
        <f aca="false">IF(AN$3=ROUND(p_stop_det,0)+1,INDEX($D$19:$BK$19,1,ROUND(p_stop_det,0))*(1-p_inv_liq),0)</f>
        <v>0</v>
      </c>
      <c r="AO37" s="15" t="n">
        <f aca="false">IF(AO$3=ROUND(p_stop_det,0)+1,INDEX($D$19:$BK$19,1,ROUND(p_stop_det,0))*(1-p_inv_liq),0)</f>
        <v>0</v>
      </c>
      <c r="AP37" s="15" t="n">
        <f aca="false">IF(AP$3=ROUND(p_stop_det,0)+1,INDEX($D$19:$BK$19,1,ROUND(p_stop_det,0))*(1-p_inv_liq),0)</f>
        <v>0</v>
      </c>
      <c r="AQ37" s="15" t="n">
        <f aca="false">IF(AQ$3=ROUND(p_stop_det,0)+1,INDEX($D$19:$BK$19,1,ROUND(p_stop_det,0))*(1-p_inv_liq),0)</f>
        <v>0</v>
      </c>
      <c r="AR37" s="15" t="n">
        <f aca="false">IF(AR$3=ROUND(p_stop_det,0)+1,INDEX($D$19:$BK$19,1,ROUND(p_stop_det,0))*(1-p_inv_liq),0)</f>
        <v>0</v>
      </c>
      <c r="AS37" s="15" t="n">
        <f aca="false">IF(AS$3=ROUND(p_stop_det,0)+1,INDEX($D$19:$BK$19,1,ROUND(p_stop_det,0))*(1-p_inv_liq),0)</f>
        <v>0</v>
      </c>
      <c r="AT37" s="15" t="n">
        <f aca="false">IF(AT$3=ROUND(p_stop_det,0)+1,INDEX($D$19:$BK$19,1,ROUND(p_stop_det,0))*(1-p_inv_liq),0)</f>
        <v>0</v>
      </c>
      <c r="AU37" s="15" t="n">
        <f aca="false">IF(AU$3=ROUND(p_stop_det,0)+1,INDEX($D$19:$BK$19,1,ROUND(p_stop_det,0))*(1-p_inv_liq),0)</f>
        <v>0</v>
      </c>
      <c r="AV37" s="15" t="n">
        <f aca="false">IF(AV$3=ROUND(p_stop_det,0)+1,INDEX($D$19:$BK$19,1,ROUND(p_stop_det,0))*(1-p_inv_liq),0)</f>
        <v>0</v>
      </c>
      <c r="AW37" s="15" t="n">
        <f aca="false">IF(AW$3=ROUND(p_stop_det,0)+1,INDEX($D$19:$BK$19,1,ROUND(p_stop_det,0))*(1-p_inv_liq),0)</f>
        <v>0</v>
      </c>
      <c r="AX37" s="15" t="n">
        <f aca="false">IF(AX$3=ROUND(p_stop_det,0)+1,INDEX($D$19:$BK$19,1,ROUND(p_stop_det,0))*(1-p_inv_liq),0)</f>
        <v>0</v>
      </c>
      <c r="AY37" s="15" t="n">
        <f aca="false">IF(AY$3=ROUND(p_stop_det,0)+1,INDEX($D$19:$BK$19,1,ROUND(p_stop_det,0))*(1-p_inv_liq),0)</f>
        <v>0</v>
      </c>
      <c r="AZ37" s="15" t="n">
        <f aca="false">IF(AZ$3=ROUND(p_stop_det,0)+1,INDEX($D$19:$BK$19,1,ROUND(p_stop_det,0))*(1-p_inv_liq),0)</f>
        <v>0</v>
      </c>
      <c r="BA37" s="15" t="n">
        <f aca="false">IF(BA$3=ROUND(p_stop_det,0)+1,INDEX($D$19:$BK$19,1,ROUND(p_stop_det,0))*(1-p_inv_liq),0)</f>
        <v>0</v>
      </c>
      <c r="BB37" s="15" t="n">
        <f aca="false">IF(BB$3=ROUND(p_stop_det,0)+1,INDEX($D$19:$BK$19,1,ROUND(p_stop_det,0))*(1-p_inv_liq),0)</f>
        <v>0</v>
      </c>
      <c r="BC37" s="15" t="n">
        <f aca="false">IF(BC$3=ROUND(p_stop_det,0)+1,INDEX($D$19:$BK$19,1,ROUND(p_stop_det,0))*(1-p_inv_liq),0)</f>
        <v>0</v>
      </c>
      <c r="BD37" s="15" t="n">
        <f aca="false">IF(BD$3=ROUND(p_stop_det,0)+1,INDEX($D$19:$BK$19,1,ROUND(p_stop_det,0))*(1-p_inv_liq),0)</f>
        <v>0</v>
      </c>
      <c r="BE37" s="15" t="n">
        <f aca="false">IF(BE$3=ROUND(p_stop_det,0)+1,INDEX($D$19:$BK$19,1,ROUND(p_stop_det,0))*(1-p_inv_liq),0)</f>
        <v>0</v>
      </c>
      <c r="BF37" s="15" t="n">
        <f aca="false">IF(BF$3=ROUND(p_stop_det,0)+1,INDEX($D$19:$BK$19,1,ROUND(p_stop_det,0))*(1-p_inv_liq),0)</f>
        <v>0</v>
      </c>
      <c r="BG37" s="15" t="n">
        <f aca="false">IF(BG$3=ROUND(p_stop_det,0)+1,INDEX($D$19:$BK$19,1,ROUND(p_stop_det,0))*(1-p_inv_liq),0)</f>
        <v>0</v>
      </c>
      <c r="BH37" s="15" t="n">
        <f aca="false">IF(BH$3=ROUND(p_stop_det,0)+1,INDEX($D$19:$BK$19,1,ROUND(p_stop_det,0))*(1-p_inv_liq),0)</f>
        <v>0</v>
      </c>
      <c r="BI37" s="15" t="n">
        <f aca="false">IF(BI$3=ROUND(p_stop_det,0)+1,INDEX($D$19:$BK$19,1,ROUND(p_stop_det,0))*(1-p_inv_liq),0)</f>
        <v>0</v>
      </c>
      <c r="BJ37" s="15" t="n">
        <f aca="false">IF(BJ$3=ROUND(p_stop_det,0)+1,INDEX($D$19:$BK$19,1,ROUND(p_stop_det,0))*(1-p_inv_liq),0)</f>
        <v>0</v>
      </c>
      <c r="BK37" s="15" t="n">
        <f aca="false">IF(BK$3=ROUND(p_stop_det,0)+1,INDEX($D$19:$BK$19,1,ROUND(p_stop_det,0))*(1-p_inv_liq),0)</f>
        <v>0</v>
      </c>
    </row>
    <row r="38" customFormat="false" ht="15" hidden="false" customHeight="true" outlineLevel="0" collapsed="false">
      <c r="A38" s="36" t="s">
        <v>458</v>
      </c>
      <c r="B38" s="32"/>
      <c r="C38" s="32"/>
      <c r="D38" s="37" t="n">
        <f aca="false">D15-D18*(1+p_expiry)-D25-D15*p_baddebt-D36-D26-D27-D28-D29-D30-D35-D37</f>
        <v>-8071.9</v>
      </c>
      <c r="E38" s="37" t="n">
        <f aca="false">E15-E18*(1+p_expiry)-E25-E15*p_baddebt-E36-E26-E27-E28-E29-E30-E35-E37</f>
        <v>-5417.9</v>
      </c>
      <c r="F38" s="37" t="n">
        <f aca="false">F15-F18*(1+p_expiry)-F25-F15*p_baddebt-F36-F26-F27-F28-F29-F30-F35-F37</f>
        <v>-27132.9</v>
      </c>
      <c r="G38" s="37" t="n">
        <f aca="false">G15-G18*(1+p_expiry)-G25-G15*p_baddebt-G36-G26-G27-G28-G29-G30-G35-G37</f>
        <v>-3310.9</v>
      </c>
      <c r="H38" s="37" t="n">
        <f aca="false">H15-H18*(1+p_expiry)-H25-H15*p_baddebt-H36-H26-H27-H28-H29-H30-H35-H37</f>
        <v>-4695.9</v>
      </c>
      <c r="I38" s="37" t="n">
        <f aca="false">I15-I18*(1+p_expiry)-I25-I15*p_baddebt-I36-I26-I27-I28-I29-I30-I35-I37</f>
        <v>-4882.9</v>
      </c>
      <c r="J38" s="37" t="n">
        <f aca="false">J15-J18*(1+p_expiry)-J25-J15*p_baddebt-J36-J26-J27-J28-J29-J30-J35-J37</f>
        <v>-4882.9</v>
      </c>
      <c r="K38" s="37" t="n">
        <f aca="false">K15-K18*(1+p_expiry)-K25-K15*p_baddebt-K36-K26-K27-K28-K29-K30-K35-K37</f>
        <v>-4882.9</v>
      </c>
      <c r="L38" s="37" t="n">
        <f aca="false">L15-L18*(1+p_expiry)-L25-L15*p_baddebt-L36-L26-L27-L28-L29-L30-L35-L37</f>
        <v>-4548.46268368086</v>
      </c>
      <c r="M38" s="37" t="n">
        <f aca="false">M15-M18*(1+p_expiry)-M25-M15*p_baddebt-M36-M26-M27-M28-M29-M30-M35-M37</f>
        <v>-4214.02536736172</v>
      </c>
      <c r="N38" s="37" t="n">
        <f aca="false">N15-N18*(1+p_expiry)-N25-N15*p_baddebt-N36-N26-N27-N28-N29-N30-N35-N37</f>
        <v>-3879.58805104259</v>
      </c>
      <c r="O38" s="37" t="n">
        <f aca="false">O15-O18*(1+p_expiry)-O25-O15*p_baddebt-O36-O26-O27-O28-O29-O30-O35-O37</f>
        <v>-3575.80968881095</v>
      </c>
      <c r="P38" s="37" t="n">
        <f aca="false">P15-P18*(1+p_expiry)-P25-P15*p_baddebt-P36-P26-P27-P28-P29-P30-P35-P37</f>
        <v>-3898.68196816577</v>
      </c>
      <c r="Q38" s="37" t="n">
        <f aca="false">Q15-Q18*(1+p_expiry)-Q25-Q15*p_baddebt-Q36-Q26-Q27-Q28-Q29-Q30-Q35-Q37</f>
        <v>-3014.70657098143</v>
      </c>
      <c r="R38" s="37" t="n">
        <f aca="false">R15-R18*(1+p_expiry)-R25-R15*p_baddebt-R36-R26-R27-R28-R29-R30-R35-R37</f>
        <v>2881.6504408725</v>
      </c>
      <c r="S38" s="37" t="n">
        <f aca="false">S15-S18*(1+p_expiry)-S25-S15*p_baddebt-S36-S26-S27-S28-S29-S30-S35-S37</f>
        <v>3198.12583805685</v>
      </c>
      <c r="T38" s="37" t="n">
        <f aca="false">T15-T18*(1+p_expiry)-T25-T15*p_baddebt-T36-T26-T27-T28-T29-T30-T35-T37</f>
        <v>3514.60123524119</v>
      </c>
      <c r="U38" s="37" t="n">
        <f aca="false">U15-U18*(1+p_expiry)-U25-U15*p_baddebt-U36-U26-U27-U28-U29-U30-U35-U37</f>
        <v>-9224.92336757446</v>
      </c>
      <c r="V38" s="37" t="n">
        <f aca="false">V15-V18*(1+p_expiry)-V25-V15*p_baddebt-V36-V26-V27-V28-V29-V30-V35-V37</f>
        <v>4147.55202960988</v>
      </c>
      <c r="W38" s="37" t="n">
        <f aca="false">W15-W18*(1+p_expiry)-W25-W15*p_baddebt-W36-W26-W27-W28-W29-W30-W35-W37</f>
        <v>4464.02742679423</v>
      </c>
      <c r="X38" s="37" t="n">
        <f aca="false">X15-X18*(1+p_expiry)-X25-X15*p_baddebt-X36-X26-X27-X28-X29-X30-X35-X37</f>
        <v>4362.02742679423</v>
      </c>
      <c r="Y38" s="37" t="n">
        <f aca="false">Y15-Y18*(1+p_expiry)-Y25-Y15*p_baddebt-Y36-Y26-Y27-Y28-Y29-Y30-Y35-Y37</f>
        <v>4362.02742679423</v>
      </c>
      <c r="Z38" s="37" t="n">
        <f aca="false">Z15-Z18*(1+p_expiry)-Z25-Z15*p_baddebt-Z36-Z26-Z27-Z28-Z29-Z30-Z35-Z37</f>
        <v>4362.02742679423</v>
      </c>
      <c r="AA38" s="37" t="n">
        <f aca="false">AA15-AA18*(1+p_expiry)-AA25-AA15*p_baddebt-AA36-AA26-AA27-AA28-AA29-AA30-AA35-AA37</f>
        <v>6601.65759430505</v>
      </c>
      <c r="AB38" s="37" t="n">
        <f aca="false">AB15-AB18*(1+p_expiry)-AB25-AB15*p_baddebt-AB36-AB26-AB27-AB28-AB29-AB30-AB35-AB37</f>
        <v>5542.01283049805</v>
      </c>
      <c r="AC38" s="37" t="n">
        <f aca="false">AC15-AC18*(1+p_expiry)-AC25-AC15*p_baddebt-AC36-AC26-AC27-AC28-AC29-AC30-AC35-AC37</f>
        <v>6223.69644955433</v>
      </c>
      <c r="AD38" s="37" t="n">
        <f aca="false">AD15-AD18*(1+p_expiry)-AD25-AD15*p_baddebt-AD36-AD26-AD27-AD28-AD29-AD30-AD35-AD37</f>
        <v>6295.51496841697</v>
      </c>
      <c r="AE38" s="37" t="n">
        <f aca="false">AE15-AE18*(1+p_expiry)-AE25-AE15*p_baddebt-AE36-AE26-AE27-AE28-AE29-AE30-AE35-AE37</f>
        <v>6409.69858747326</v>
      </c>
      <c r="AF38" s="37" t="n">
        <f aca="false">AF15-AF18*(1+p_expiry)-AF25-AF15*p_baddebt-AF36-AF26-AF27-AF28-AF29-AF30-AF35-AF37</f>
        <v>6523.88220652954</v>
      </c>
      <c r="AG38" s="37" t="n">
        <f aca="false">AG15-AG18*(1+p_expiry)-AG25-AG15*p_baddebt-AG36-AG26-AG27-AG28-AG29-AG30-AG35-AG37</f>
        <v>6680.43092577946</v>
      </c>
      <c r="AH38" s="37" t="n">
        <f aca="false">AH15-AH18*(1+p_expiry)-AH25-AH15*p_baddebt-AH36-AH26-AH27-AH28-AH29-AH30-AH35-AH37</f>
        <v>6794.61454483574</v>
      </c>
      <c r="AI38" s="37" t="n">
        <f aca="false">AI15-AI18*(1+p_expiry)-AI25-AI15*p_baddebt-AI36-AI26-AI27-AI28-AI29-AI30-AI35-AI37</f>
        <v>6908.79816389203</v>
      </c>
      <c r="AJ38" s="37" t="n">
        <f aca="false">AJ15-AJ18*(1+p_expiry)-AJ25-AJ15*p_baddebt-AJ36-AJ26-AJ27-AJ28-AJ29-AJ30-AJ35-AJ37</f>
        <v>7022.98178294831</v>
      </c>
      <c r="AK38" s="37" t="n">
        <f aca="false">AK15-AK18*(1+p_expiry)-AK25-AK15*p_baddebt-AK36-AK26-AK27-AK28-AK29-AK30-AK35-AK37</f>
        <v>7137.16540200459</v>
      </c>
      <c r="AL38" s="37" t="n">
        <f aca="false">AL15-AL18*(1+p_expiry)-AL25-AL15*p_baddebt-AL36-AL26-AL27-AL28-AL29-AL30-AL35-AL37</f>
        <v>7251.34902106087</v>
      </c>
      <c r="AM38" s="37" t="n">
        <f aca="false">AM15-AM18*(1+p_expiry)-AM25-AM15*p_baddebt-AM36-AM26-AM27-AM28-AM29-AM30-AM35-AM37</f>
        <v>7251.34902106087</v>
      </c>
      <c r="AN38" s="37" t="n">
        <f aca="false">AN15-AN18*(1+p_expiry)-AN25-AN15*p_baddebt-AN36-AN26-AN27-AN28-AN29-AN30-AN35-AN37</f>
        <v>6024.728936885</v>
      </c>
      <c r="AO38" s="37" t="n">
        <f aca="false">AO15-AO18*(1+p_expiry)-AO25-AO15*p_baddebt-AO36-AO26-AO27-AO28-AO29-AO30-AO35-AO37</f>
        <v>6592.228936885</v>
      </c>
      <c r="AP38" s="37" t="n">
        <f aca="false">AP15-AP18*(1+p_expiry)-AP25-AP15*p_baddebt-AP36-AP26-AP27-AP28-AP29-AP30-AP35-AP37</f>
        <v>6592.228936885</v>
      </c>
      <c r="AQ38" s="37" t="n">
        <f aca="false">AQ15-AQ18*(1+p_expiry)-AQ25-AQ15*p_baddebt-AQ36-AQ26-AQ27-AQ28-AQ29-AQ30-AQ35-AQ37</f>
        <v>6592.228936885</v>
      </c>
      <c r="AR38" s="37" t="n">
        <f aca="false">AR15-AR18*(1+p_expiry)-AR25-AR15*p_baddebt-AR36-AR26-AR27-AR28-AR29-AR30-AR35-AR37</f>
        <v>6592.228936885</v>
      </c>
      <c r="AS38" s="37" t="n">
        <f aca="false">AS15-AS18*(1+p_expiry)-AS25-AS15*p_baddebt-AS36-AS26-AS27-AS28-AS29-AS30-AS35-AS37</f>
        <v>6549.86383669137</v>
      </c>
      <c r="AT38" s="37" t="n">
        <f aca="false">AT15-AT18*(1+p_expiry)-AT25-AT15*p_baddebt-AT36-AT26-AT27-AT28-AT29-AT30-AT35-AT37</f>
        <v>6549.86383669137</v>
      </c>
      <c r="AU38" s="37" t="n">
        <f aca="false">AU15-AU18*(1+p_expiry)-AU25-AU15*p_baddebt-AU36-AU26-AU27-AU28-AU29-AU30-AU35-AU37</f>
        <v>6549.86383669137</v>
      </c>
      <c r="AV38" s="37" t="n">
        <f aca="false">AV15-AV18*(1+p_expiry)-AV25-AV15*p_baddebt-AV36-AV26-AV27-AV28-AV29-AV30-AV35-AV37</f>
        <v>6592.228936885</v>
      </c>
      <c r="AW38" s="37" t="n">
        <f aca="false">AW15-AW18*(1+p_expiry)-AW25-AW15*p_baddebt-AW36-AW26-AW27-AW28-AW29-AW30-AW35-AW37</f>
        <v>6592.228936885</v>
      </c>
      <c r="AX38" s="37" t="n">
        <f aca="false">AX15-AX18*(1+p_expiry)-AX25-AX15*p_baddebt-AX36-AX26-AX27-AX28-AX29-AX30-AX35-AX37</f>
        <v>6592.228936885</v>
      </c>
      <c r="AY38" s="37" t="n">
        <f aca="false">AY15-AY18*(1+p_expiry)-AY25-AY15*p_baddebt-AY36-AY26-AY27-AY28-AY29-AY30-AY35-AY37</f>
        <v>6592.228936885</v>
      </c>
      <c r="AZ38" s="37" t="n">
        <f aca="false">AZ15-AZ18*(1+p_expiry)-AZ25-AZ15*p_baddebt-AZ36-AZ26-AZ27-AZ28-AZ29-AZ30-AZ35-AZ37</f>
        <v>5385.3824552344</v>
      </c>
      <c r="BA38" s="37" t="n">
        <f aca="false">BA15-BA18*(1+p_expiry)-BA25-BA15*p_baddebt-BA36-BA26-BA27-BA28-BA29-BA30-BA35-BA37</f>
        <v>5952.8824552344</v>
      </c>
      <c r="BB38" s="37" t="n">
        <f aca="false">BB15-BB18*(1+p_expiry)-BB25-BB15*p_baddebt-BB36-BB26-BB27-BB28-BB29-BB30-BB35-BB37</f>
        <v>5952.8824552344</v>
      </c>
      <c r="BC38" s="37" t="n">
        <f aca="false">BC15-BC18*(1+p_expiry)-BC25-BC15*p_baddebt-BC36-BC26-BC27-BC28-BC29-BC30-BC35-BC37</f>
        <v>5952.8824552344</v>
      </c>
      <c r="BD38" s="37" t="n">
        <f aca="false">BD15-BD18*(1+p_expiry)-BD25-BD15*p_baddebt-BD36-BD26-BD27-BD28-BD29-BD30-BD35-BD37</f>
        <v>5952.8824552344</v>
      </c>
      <c r="BE38" s="37" t="n">
        <f aca="false">BE15-BE18*(1+p_expiry)-BE25-BE15*p_baddebt-BE36-BE26-BE27-BE28-BE29-BE30-BE35-BE37</f>
        <v>5952.8824552344</v>
      </c>
      <c r="BF38" s="37" t="n">
        <f aca="false">BF15-BF18*(1+p_expiry)-BF25-BF15*p_baddebt-BF36-BF26-BF27-BF28-BF29-BF30-BF35-BF37</f>
        <v>5952.8824552344</v>
      </c>
      <c r="BG38" s="37" t="n">
        <f aca="false">BG15-BG18*(1+p_expiry)-BG25-BG15*p_baddebt-BG36-BG26-BG27-BG28-BG29-BG30-BG35-BG37</f>
        <v>5952.8824552344</v>
      </c>
      <c r="BH38" s="37" t="n">
        <f aca="false">BH15-BH18*(1+p_expiry)-BH25-BH15*p_baddebt-BH36-BH26-BH27-BH28-BH29-BH30-BH35-BH37</f>
        <v>5910.51735504076</v>
      </c>
      <c r="BI38" s="37" t="n">
        <f aca="false">BI15-BI18*(1+p_expiry)-BI25-BI15*p_baddebt-BI36-BI26-BI27-BI28-BI29-BI30-BI35-BI37</f>
        <v>5910.51735504076</v>
      </c>
      <c r="BJ38" s="37" t="n">
        <f aca="false">BJ15-BJ18*(1+p_expiry)-BJ25-BJ15*p_baddebt-BJ36-BJ26-BJ27-BJ28-BJ29-BJ30-BJ35-BJ37</f>
        <v>5910.51735504076</v>
      </c>
      <c r="BK38" s="37" t="n">
        <f aca="false">BK15-BK18*(1+p_expiry)-BK25-BK15*p_baddebt-BK36-BK26-BK27-BK28-BK29-BK30-BK35-BK37</f>
        <v>5952.8824552344</v>
      </c>
      <c r="BL38" s="32"/>
    </row>
    <row r="39" customFormat="false" ht="15" hidden="false" customHeight="true" outlineLevel="0" collapsed="false">
      <c r="A39" s="10" t="s">
        <v>459</v>
      </c>
      <c r="D39" s="38" t="n">
        <f aca="false">IF(D$3=15,Anual!$C$14,IF(D$3=27,Anual!$D$14,IF(D$3=39,Anual!$E$14,IF(D$3=51,Anual!$F$14,0))))</f>
        <v>0</v>
      </c>
      <c r="E39" s="38" t="n">
        <f aca="false">IF(E$3=15,Anual!$C$14,IF(E$3=27,Anual!$D$14,IF(E$3=39,Anual!$E$14,IF(E$3=51,Anual!$F$14,0))))</f>
        <v>0</v>
      </c>
      <c r="F39" s="38" t="n">
        <f aca="false">IF(F$3=15,Anual!$C$14,IF(F$3=27,Anual!$D$14,IF(F$3=39,Anual!$E$14,IF(F$3=51,Anual!$F$14,0))))</f>
        <v>0</v>
      </c>
      <c r="G39" s="38" t="n">
        <f aca="false">IF(G$3=15,Anual!$C$14,IF(G$3=27,Anual!$D$14,IF(G$3=39,Anual!$E$14,IF(G$3=51,Anual!$F$14,0))))</f>
        <v>0</v>
      </c>
      <c r="H39" s="38" t="n">
        <f aca="false">IF(H$3=15,Anual!$C$14,IF(H$3=27,Anual!$D$14,IF(H$3=39,Anual!$E$14,IF(H$3=51,Anual!$F$14,0))))</f>
        <v>0</v>
      </c>
      <c r="I39" s="38" t="n">
        <f aca="false">IF(I$3=15,Anual!$C$14,IF(I$3=27,Anual!$D$14,IF(I$3=39,Anual!$E$14,IF(I$3=51,Anual!$F$14,0))))</f>
        <v>0</v>
      </c>
      <c r="J39" s="38" t="n">
        <f aca="false">IF(J$3=15,Anual!$C$14,IF(J$3=27,Anual!$D$14,IF(J$3=39,Anual!$E$14,IF(J$3=51,Anual!$F$14,0))))</f>
        <v>0</v>
      </c>
      <c r="K39" s="38" t="n">
        <f aca="false">IF(K$3=15,Anual!$C$14,IF(K$3=27,Anual!$D$14,IF(K$3=39,Anual!$E$14,IF(K$3=51,Anual!$F$14,0))))</f>
        <v>0</v>
      </c>
      <c r="L39" s="38" t="n">
        <f aca="false">IF(L$3=15,Anual!$C$14,IF(L$3=27,Anual!$D$14,IF(L$3=39,Anual!$E$14,IF(L$3=51,Anual!$F$14,0))))</f>
        <v>0</v>
      </c>
      <c r="M39" s="38" t="n">
        <f aca="false">IF(M$3=15,Anual!$C$14,IF(M$3=27,Anual!$D$14,IF(M$3=39,Anual!$E$14,IF(M$3=51,Anual!$F$14,0))))</f>
        <v>0</v>
      </c>
      <c r="N39" s="38" t="n">
        <f aca="false">IF(N$3=15,Anual!$C$14,IF(N$3=27,Anual!$D$14,IF(N$3=39,Anual!$E$14,IF(N$3=51,Anual!$F$14,0))))</f>
        <v>0</v>
      </c>
      <c r="O39" s="38" t="n">
        <f aca="false">IF(O$3=15,Anual!$C$14,IF(O$3=27,Anual!$D$14,IF(O$3=39,Anual!$E$14,IF(O$3=51,Anual!$F$14,0))))</f>
        <v>0</v>
      </c>
      <c r="P39" s="38" t="n">
        <f aca="false">IF(P$3=15,Anual!$C$14,IF(P$3=27,Anual!$D$14,IF(P$3=39,Anual!$E$14,IF(P$3=51,Anual!$F$14,0))))</f>
        <v>0</v>
      </c>
      <c r="Q39" s="38" t="n">
        <f aca="false">IF(Q$3=15,Anual!$C$14,IF(Q$3=27,Anual!$D$14,IF(Q$3=39,Anual!$E$14,IF(Q$3=51,Anual!$F$14,0))))</f>
        <v>0</v>
      </c>
      <c r="R39" s="38" t="n">
        <f aca="false">IF(R$3=15,Anual!$C$14,IF(R$3=27,Anual!$D$14,IF(R$3=39,Anual!$E$14,IF(R$3=51,Anual!$F$14,0))))</f>
        <v>0</v>
      </c>
      <c r="S39" s="38" t="n">
        <f aca="false">IF(S$3=15,Anual!$C$14,IF(S$3=27,Anual!$D$14,IF(S$3=39,Anual!$E$14,IF(S$3=51,Anual!$F$14,0))))</f>
        <v>0</v>
      </c>
      <c r="T39" s="38" t="n">
        <f aca="false">IF(T$3=15,Anual!$C$14,IF(T$3=27,Anual!$D$14,IF(T$3=39,Anual!$E$14,IF(T$3=51,Anual!$F$14,0))))</f>
        <v>0</v>
      </c>
      <c r="U39" s="38" t="n">
        <f aca="false">IF(U$3=15,Anual!$C$14,IF(U$3=27,Anual!$D$14,IF(U$3=39,Anual!$E$14,IF(U$3=51,Anual!$F$14,0))))</f>
        <v>0</v>
      </c>
      <c r="V39" s="38" t="n">
        <f aca="false">IF(V$3=15,Anual!$C$14,IF(V$3=27,Anual!$D$14,IF(V$3=39,Anual!$E$14,IF(V$3=51,Anual!$F$14,0))))</f>
        <v>0</v>
      </c>
      <c r="W39" s="38" t="n">
        <f aca="false">IF(W$3=15,Anual!$C$14,IF(W$3=27,Anual!$D$14,IF(W$3=39,Anual!$E$14,IF(W$3=51,Anual!$F$14,0))))</f>
        <v>0</v>
      </c>
      <c r="X39" s="38" t="n">
        <f aca="false">IF(X$3=15,Anual!$C$14,IF(X$3=27,Anual!$D$14,IF(X$3=39,Anual!$E$14,IF(X$3=51,Anual!$F$14,0))))</f>
        <v>0</v>
      </c>
      <c r="Y39" s="38" t="n">
        <f aca="false">IF(Y$3=15,Anual!$C$14,IF(Y$3=27,Anual!$D$14,IF(Y$3=39,Anual!$E$14,IF(Y$3=51,Anual!$F$14,0))))</f>
        <v>0</v>
      </c>
      <c r="Z39" s="38" t="n">
        <f aca="false">IF(Z$3=15,Anual!$C$14,IF(Z$3=27,Anual!$D$14,IF(Z$3=39,Anual!$E$14,IF(Z$3=51,Anual!$F$14,0))))</f>
        <v>0</v>
      </c>
      <c r="AA39" s="38" t="n">
        <f aca="false">IF(AA$3=15,Anual!$C$14,IF(AA$3=27,Anual!$D$14,IF(AA$3=39,Anual!$E$14,IF(AA$3=51,Anual!$F$14,0))))</f>
        <v>0</v>
      </c>
      <c r="AB39" s="38" t="n">
        <f aca="false">IF(AB$3=15,Anual!$C$14,IF(AB$3=27,Anual!$D$14,IF(AB$3=39,Anual!$E$14,IF(AB$3=51,Anual!$F$14,0))))</f>
        <v>0</v>
      </c>
      <c r="AC39" s="38" t="n">
        <f aca="false">IF(AC$3=15,Anual!$C$14,IF(AC$3=27,Anual!$D$14,IF(AC$3=39,Anual!$E$14,IF(AC$3=51,Anual!$F$14,0))))</f>
        <v>0</v>
      </c>
      <c r="AD39" s="38" t="n">
        <f aca="false">IF(AD$3=15,Anual!$C$14,IF(AD$3=27,Anual!$D$14,IF(AD$3=39,Anual!$E$14,IF(AD$3=51,Anual!$F$14,0))))</f>
        <v>2719.42311731759</v>
      </c>
      <c r="AE39" s="38" t="n">
        <f aca="false">IF(AE$3=15,Anual!$C$14,IF(AE$3=27,Anual!$D$14,IF(AE$3=39,Anual!$E$14,IF(AE$3=51,Anual!$F$14,0))))</f>
        <v>0</v>
      </c>
      <c r="AF39" s="38" t="n">
        <f aca="false">IF(AF$3=15,Anual!$C$14,IF(AF$3=27,Anual!$D$14,IF(AF$3=39,Anual!$E$14,IF(AF$3=51,Anual!$F$14,0))))</f>
        <v>0</v>
      </c>
      <c r="AG39" s="38" t="n">
        <f aca="false">IF(AG$3=15,Anual!$C$14,IF(AG$3=27,Anual!$D$14,IF(AG$3=39,Anual!$E$14,IF(AG$3=51,Anual!$F$14,0))))</f>
        <v>0</v>
      </c>
      <c r="AH39" s="38" t="n">
        <f aca="false">IF(AH$3=15,Anual!$C$14,IF(AH$3=27,Anual!$D$14,IF(AH$3=39,Anual!$E$14,IF(AH$3=51,Anual!$F$14,0))))</f>
        <v>0</v>
      </c>
      <c r="AI39" s="38" t="n">
        <f aca="false">IF(AI$3=15,Anual!$C$14,IF(AI$3=27,Anual!$D$14,IF(AI$3=39,Anual!$E$14,IF(AI$3=51,Anual!$F$14,0))))</f>
        <v>0</v>
      </c>
      <c r="AJ39" s="38" t="n">
        <f aca="false">IF(AJ$3=15,Anual!$C$14,IF(AJ$3=27,Anual!$D$14,IF(AJ$3=39,Anual!$E$14,IF(AJ$3=51,Anual!$F$14,0))))</f>
        <v>0</v>
      </c>
      <c r="AK39" s="38" t="n">
        <f aca="false">IF(AK$3=15,Anual!$C$14,IF(AK$3=27,Anual!$D$14,IF(AK$3=39,Anual!$E$14,IF(AK$3=51,Anual!$F$14,0))))</f>
        <v>0</v>
      </c>
      <c r="AL39" s="38" t="n">
        <f aca="false">IF(AL$3=15,Anual!$C$14,IF(AL$3=27,Anual!$D$14,IF(AL$3=39,Anual!$E$14,IF(AL$3=51,Anual!$F$14,0))))</f>
        <v>0</v>
      </c>
      <c r="AM39" s="38" t="n">
        <f aca="false">IF(AM$3=15,Anual!$C$14,IF(AM$3=27,Anual!$D$14,IF(AM$3=39,Anual!$E$14,IF(AM$3=51,Anual!$F$14,0))))</f>
        <v>0</v>
      </c>
      <c r="AN39" s="38" t="n">
        <f aca="false">IF(AN$3=15,Anual!$C$14,IF(AN$3=27,Anual!$D$14,IF(AN$3=39,Anual!$E$14,IF(AN$3=51,Anual!$F$14,0))))</f>
        <v>0</v>
      </c>
      <c r="AO39" s="38" t="n">
        <f aca="false">IF(AO$3=15,Anual!$C$14,IF(AO$3=27,Anual!$D$14,IF(AO$3=39,Anual!$E$14,IF(AO$3=51,Anual!$F$14,0))))</f>
        <v>0</v>
      </c>
      <c r="AP39" s="38" t="n">
        <f aca="false">IF(AP$3=15,Anual!$C$14,IF(AP$3=27,Anual!$D$14,IF(AP$3=39,Anual!$E$14,IF(AP$3=51,Anual!$F$14,0))))</f>
        <v>16035.5691864687</v>
      </c>
      <c r="AQ39" s="38" t="n">
        <f aca="false">IF(AQ$3=15,Anual!$C$14,IF(AQ$3=27,Anual!$D$14,IF(AQ$3=39,Anual!$E$14,IF(AQ$3=51,Anual!$F$14,0))))</f>
        <v>0</v>
      </c>
      <c r="AR39" s="38" t="n">
        <f aca="false">IF(AR$3=15,Anual!$C$14,IF(AR$3=27,Anual!$D$14,IF(AR$3=39,Anual!$E$14,IF(AR$3=51,Anual!$F$14,0))))</f>
        <v>0</v>
      </c>
      <c r="AS39" s="38" t="n">
        <f aca="false">IF(AS$3=15,Anual!$C$14,IF(AS$3=27,Anual!$D$14,IF(AS$3=39,Anual!$E$14,IF(AS$3=51,Anual!$F$14,0))))</f>
        <v>0</v>
      </c>
      <c r="AT39" s="38" t="n">
        <f aca="false">IF(AT$3=15,Anual!$C$14,IF(AT$3=27,Anual!$D$14,IF(AT$3=39,Anual!$E$14,IF(AT$3=51,Anual!$F$14,0))))</f>
        <v>0</v>
      </c>
      <c r="AU39" s="38" t="n">
        <f aca="false">IF(AU$3=15,Anual!$C$14,IF(AU$3=27,Anual!$D$14,IF(AU$3=39,Anual!$E$14,IF(AU$3=51,Anual!$F$14,0))))</f>
        <v>0</v>
      </c>
      <c r="AV39" s="38" t="n">
        <f aca="false">IF(AV$3=15,Anual!$C$14,IF(AV$3=27,Anual!$D$14,IF(AV$3=39,Anual!$E$14,IF(AV$3=51,Anual!$F$14,0))))</f>
        <v>0</v>
      </c>
      <c r="AW39" s="38" t="n">
        <f aca="false">IF(AW$3=15,Anual!$C$14,IF(AW$3=27,Anual!$D$14,IF(AW$3=39,Anual!$E$14,IF(AW$3=51,Anual!$F$14,0))))</f>
        <v>0</v>
      </c>
      <c r="AX39" s="38" t="n">
        <f aca="false">IF(AX$3=15,Anual!$C$14,IF(AX$3=27,Anual!$D$14,IF(AX$3=39,Anual!$E$14,IF(AX$3=51,Anual!$F$14,0))))</f>
        <v>0</v>
      </c>
      <c r="AY39" s="38" t="n">
        <f aca="false">IF(AY$3=15,Anual!$C$14,IF(AY$3=27,Anual!$D$14,IF(AY$3=39,Anual!$E$14,IF(AY$3=51,Anual!$F$14,0))))</f>
        <v>0</v>
      </c>
      <c r="AZ39" s="38" t="n">
        <f aca="false">IF(AZ$3=15,Anual!$C$14,IF(AZ$3=27,Anual!$D$14,IF(AZ$3=39,Anual!$E$14,IF(AZ$3=51,Anual!$F$14,0))))</f>
        <v>0</v>
      </c>
      <c r="BA39" s="38" t="n">
        <f aca="false">IF(BA$3=15,Anual!$C$14,IF(BA$3=27,Anual!$D$14,IF(BA$3=39,Anual!$E$14,IF(BA$3=51,Anual!$F$14,0))))</f>
        <v>0</v>
      </c>
      <c r="BB39" s="38" t="n">
        <f aca="false">IF(BB$3=15,Anual!$C$14,IF(BB$3=27,Anual!$D$14,IF(BB$3=39,Anual!$E$14,IF(BB$3=51,Anual!$F$14,0))))</f>
        <v>15628.233695965</v>
      </c>
      <c r="BC39" s="38" t="n">
        <f aca="false">IF(BC$3=15,Anual!$C$14,IF(BC$3=27,Anual!$D$14,IF(BC$3=39,Anual!$E$14,IF(BC$3=51,Anual!$F$14,0))))</f>
        <v>0</v>
      </c>
      <c r="BD39" s="38" t="n">
        <f aca="false">IF(BD$3=15,Anual!$C$14,IF(BD$3=27,Anual!$D$14,IF(BD$3=39,Anual!$E$14,IF(BD$3=51,Anual!$F$14,0))))</f>
        <v>0</v>
      </c>
      <c r="BE39" s="38" t="n">
        <f aca="false">IF(BE$3=15,Anual!$C$14,IF(BE$3=27,Anual!$D$14,IF(BE$3=39,Anual!$E$14,IF(BE$3=51,Anual!$F$14,0))))</f>
        <v>0</v>
      </c>
      <c r="BF39" s="38" t="n">
        <f aca="false">IF(BF$3=15,Anual!$C$14,IF(BF$3=27,Anual!$D$14,IF(BF$3=39,Anual!$E$14,IF(BF$3=51,Anual!$F$14,0))))</f>
        <v>0</v>
      </c>
      <c r="BG39" s="38" t="n">
        <f aca="false">IF(BG$3=15,Anual!$C$14,IF(BG$3=27,Anual!$D$14,IF(BG$3=39,Anual!$E$14,IF(BG$3=51,Anual!$F$14,0))))</f>
        <v>0</v>
      </c>
      <c r="BH39" s="38" t="n">
        <f aca="false">IF(BH$3=15,Anual!$C$14,IF(BH$3=27,Anual!$D$14,IF(BH$3=39,Anual!$E$14,IF(BH$3=51,Anual!$F$14,0))))</f>
        <v>0</v>
      </c>
      <c r="BI39" s="38" t="n">
        <f aca="false">IF(BI$3=15,Anual!$C$14,IF(BI$3=27,Anual!$D$14,IF(BI$3=39,Anual!$E$14,IF(BI$3=51,Anual!$F$14,0))))</f>
        <v>0</v>
      </c>
      <c r="BJ39" s="38" t="n">
        <f aca="false">IF(BJ$3=15,Anual!$C$14,IF(BJ$3=27,Anual!$D$14,IF(BJ$3=39,Anual!$E$14,IF(BJ$3=51,Anual!$F$14,0))))</f>
        <v>0</v>
      </c>
      <c r="BK39" s="38" t="n">
        <f aca="false">IF(BK$3=15,Anual!$C$14,IF(BK$3=27,Anual!$D$14,IF(BK$3=39,Anual!$E$14,IF(BK$3=51,Anual!$F$14,0))))</f>
        <v>0</v>
      </c>
    </row>
    <row r="40" customFormat="false" ht="15" hidden="false" customHeight="true" outlineLevel="0" collapsed="false">
      <c r="A40" s="10" t="s">
        <v>460</v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f aca="false">IF(R$3&lt;=ROUND(p_stop_det,0)+3,MAX(100,p_aviso*MAX(0,SUM($D$43:$O$43)+SUM(Anual!$C$15:$C$15)-SUM($D$44:$O$44))),0)</f>
        <v>989.39317604574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f aca="false">IF(AD$3&lt;=ROUND(p_stop_det,0)+3,MAX(100,p_aviso*MAX(0,SUM($D$43:$AA$43)+SUM(Anual!$C$15:$D$15)-SUM($D$44:$AA$44))),0)</f>
        <v>3553.49211671732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0</v>
      </c>
      <c r="AJ40" s="15" t="n">
        <v>0</v>
      </c>
      <c r="AK40" s="15" t="n">
        <v>0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f aca="false">IF(AP$3&lt;=ROUND(p_stop_det,0)+3,MAX(100,p_aviso*MAX(0,SUM($D$43:$AM$43)+SUM(Anual!$C$15:$E$15)-SUM($D$44:$AM$44))),0)</f>
        <v>5119.35939753437</v>
      </c>
      <c r="AQ40" s="15" t="n">
        <v>0</v>
      </c>
      <c r="AR40" s="15" t="n">
        <v>0</v>
      </c>
      <c r="AS40" s="15" t="n">
        <v>0</v>
      </c>
      <c r="AT40" s="15" t="n">
        <v>0</v>
      </c>
      <c r="AU40" s="15" t="n">
        <v>0</v>
      </c>
      <c r="AV40" s="15" t="n">
        <v>0</v>
      </c>
      <c r="AW40" s="15" t="n">
        <v>0</v>
      </c>
      <c r="AX40" s="15" t="n">
        <v>0</v>
      </c>
      <c r="AY40" s="15" t="n">
        <v>0</v>
      </c>
      <c r="AZ40" s="15" t="n">
        <v>0</v>
      </c>
      <c r="BA40" s="15" t="n">
        <v>0</v>
      </c>
      <c r="BB40" s="15" t="n">
        <f aca="false">IF(BB$3&lt;=ROUND(p_stop_det,0)+3,MAX(100,p_aviso*MAX(0,SUM($D$43:$AY$43)+SUM(Anual!$C$15:$F$15)-SUM($D$44:$AY$44))),0)</f>
        <v>5359.14850812535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0</v>
      </c>
      <c r="BH40" s="15" t="n">
        <v>0</v>
      </c>
      <c r="BI40" s="15" t="n">
        <v>0</v>
      </c>
      <c r="BJ40" s="15" t="n">
        <v>0</v>
      </c>
      <c r="BK40" s="15" t="n">
        <v>0</v>
      </c>
    </row>
    <row r="41" customFormat="false" ht="15" hidden="false" customHeight="true" outlineLevel="0" collapsed="false">
      <c r="A41" s="10" t="s">
        <v>461</v>
      </c>
      <c r="D41" s="15" t="n">
        <f aca="false">C45+D24-D23-D25-D26-D27-D28-D29-D30-D34-D35-D39-D40</f>
        <v>-8071.9</v>
      </c>
      <c r="E41" s="15" t="n">
        <f aca="false">D45+E24-E23-E25-E26-E27-E28-E29-E30-E34-E35-E39-E40</f>
        <v>-2004.2</v>
      </c>
      <c r="F41" s="15" t="n">
        <f aca="false">E45+F24-F23-F25-F26-F27-F28-F29-F30-F34-F35-F39-F40</f>
        <v>-23719.2</v>
      </c>
      <c r="G41" s="15" t="n">
        <f aca="false">F45+G24-G23-G25-G26-G27-G28-G29-G30-G34-G35-G39-G40</f>
        <v>5016.8</v>
      </c>
      <c r="H41" s="15" t="n">
        <f aca="false">G45+H24-H23-H25-H26-H27-H28-H29-H30-H34-H35-H39-H40</f>
        <v>3631.8</v>
      </c>
      <c r="I41" s="15" t="n">
        <f aca="false">H45+I24-I23-I25-I26-I27-I28-I29-I30-I34-I35-I39-I40</f>
        <v>8663.64017955454</v>
      </c>
      <c r="J41" s="15" t="n">
        <f aca="false">I45+J24-J23-J25-J26-J27-J28-J29-J30-J34-J35-J39-J40</f>
        <v>7552.58184739291</v>
      </c>
      <c r="K41" s="15" t="n">
        <f aca="false">J45+K24-K23-K25-K26-K27-K28-K29-K30-K34-K35-K39-K40</f>
        <v>7827.13898721114</v>
      </c>
      <c r="L41" s="15" t="n">
        <f aca="false">K45+L24-L23-L25-L26-L27-L28-L29-L30-L34-L35-L39-L40</f>
        <v>7534.4847407542</v>
      </c>
      <c r="M41" s="15" t="n">
        <f aca="false">L45+M24-M23-M25-M26-M27-M28-M29-M30-M34-M35-M39-M40</f>
        <v>7241.83049429726</v>
      </c>
      <c r="N41" s="15" t="n">
        <f aca="false">M45+N24-N23-N25-N26-N27-N28-N29-N30-N34-N35-N39-N40</f>
        <v>4732.04700884935</v>
      </c>
      <c r="O41" s="15" t="n">
        <f aca="false">N45+O24-O23-O25-O26-O27-O28-O29-O30-O34-O35-O39-O40</f>
        <v>-11186.3678512426</v>
      </c>
      <c r="P41" s="15" t="n">
        <f aca="false">O45+P24-P23-P25-P26-P27-P28-P29-P30-P34-P35-P39-P40</f>
        <v>1963.89107931356</v>
      </c>
      <c r="Q41" s="15" t="n">
        <f aca="false">P45+Q24-Q23-Q25-Q26-Q27-Q28-Q29-Q30-Q34-Q35-Q39-Q40</f>
        <v>2866.67922338119</v>
      </c>
      <c r="R41" s="15" t="n">
        <f aca="false">Q45+R24-R23-R25-R26-R27-R28-R29-R30-R34-R35-R39-R40</f>
        <v>-11918.5334099008</v>
      </c>
      <c r="S41" s="15" t="n">
        <f aca="false">R45+S24-S23-S25-S26-S27-S28-S29-S30-S34-S35-S39-S40</f>
        <v>3054.53800125636</v>
      </c>
      <c r="T41" s="15" t="n">
        <f aca="false">S45+T24-T23-T25-T26-T27-T28-T29-T30-T34-T35-T39-T40</f>
        <v>3620.76205732063</v>
      </c>
      <c r="U41" s="15" t="n">
        <f aca="false">T45+U24-U23-U25-U26-U27-U28-U29-U30-U34-U35-U39-U40</f>
        <v>-8575.87507525048</v>
      </c>
      <c r="V41" s="15" t="n">
        <f aca="false">U45+V24-V23-V25-V26-V27-V28-V29-V30-V34-V35-V39-V40</f>
        <v>5060.89364344114</v>
      </c>
      <c r="W41" s="15" t="n">
        <f aca="false">V45+W24-W23-W25-W26-W27-W28-W29-W30-W34-W35-W39-W40</f>
        <v>14575.6175624077</v>
      </c>
      <c r="X41" s="15" t="n">
        <f aca="false">W45+X24-X23-X25-X26-X27-X28-X29-X30-X34-X35-X39-X40</f>
        <v>13769.1088675306</v>
      </c>
      <c r="Y41" s="15" t="n">
        <f aca="false">X45+Y24-Y23-Y25-Y26-Y27-Y28-Y29-Y30-Y34-Y35-Y39-Y40</f>
        <v>14746.5595139788</v>
      </c>
      <c r="Z41" s="15" t="n">
        <f aca="false">Y45+Z24-Z23-Z25-Z26-Z27-Z28-Z29-Z30-Z34-Z35-Z39-Z40</f>
        <v>15912.7858483658</v>
      </c>
      <c r="AA41" s="15" t="n">
        <f aca="false">Z45+AA24-AA23-AA25-AA26-AA27-AA28-AA29-AA30-AA34-AA35-AA39-AA40</f>
        <v>7778.8504005518</v>
      </c>
      <c r="AB41" s="15" t="n">
        <f aca="false">AA45+AB24-AB23-AB25-AB26-AB27-AB28-AB29-AB30-AB34-AB35-AB39-AB40</f>
        <v>15513.1717302024</v>
      </c>
      <c r="AC41" s="15" t="n">
        <f aca="false">AB45+AC24-AC23-AC25-AC26-AC27-AC28-AC29-AC30-AC34-AC35-AC39-AC40</f>
        <v>17395.0427252841</v>
      </c>
      <c r="AD41" s="15" t="n">
        <f aca="false">AC45+AD24-AD23-AD25-AD26-AD27-AD28-AD29-AD30-AD34-AD35-AD39-AD40</f>
        <v>-3036.3799215971</v>
      </c>
      <c r="AE41" s="15" t="n">
        <f aca="false">AD45+AE24-AE23-AE25-AE26-AE27-AE28-AE29-AE30-AE34-AE35-AE39-AE40</f>
        <v>15705.0044246466</v>
      </c>
      <c r="AF41" s="15" t="n">
        <f aca="false">AE45+AF24-AF23-AF25-AF26-AF27-AF28-AF29-AF30-AF34-AF35-AF39-AF40</f>
        <v>21211.4980382251</v>
      </c>
      <c r="AG41" s="15" t="n">
        <f aca="false">AF45+AG24-AG23-AG25-AG26-AG27-AG28-AG29-AG30-AG34-AG35-AG39-AG40</f>
        <v>42126.4037426682</v>
      </c>
      <c r="AH41" s="15" t="n">
        <f aca="false">AG45+AH24-AH23-AH25-AH26-AH27-AH28-AH29-AH30-AH34-AH35-AH39-AH40</f>
        <v>47268.580493554</v>
      </c>
      <c r="AI41" s="15" t="n">
        <f aca="false">AH45+AI24-AI23-AI25-AI26-AI27-AI28-AI29-AI30-AI34-AI35-AI39-AI40</f>
        <v>52613.1163935312</v>
      </c>
      <c r="AJ41" s="15" t="n">
        <f aca="false">AI45+AJ24-AJ23-AJ25-AJ26-AJ27-AJ28-AJ29-AJ30-AJ34-AJ35-AJ39-AJ40</f>
        <v>58307.8524146252</v>
      </c>
      <c r="AK41" s="15" t="n">
        <f aca="false">AJ45+AK24-AK23-AK25-AK26-AK27-AK28-AK29-AK30-AK34-AK35-AK39-AK40</f>
        <v>64217.6840502601</v>
      </c>
      <c r="AL41" s="15" t="n">
        <f aca="false">AK45+AL24-AL23-AL25-AL26-AL27-AL28-AL29-AL30-AL34-AL35-AL39-AL40</f>
        <v>70342.6113004358</v>
      </c>
      <c r="AM41" s="15" t="n">
        <f aca="false">AL45+AM24-AM23-AM25-AM26-AM27-AM28-AM29-AM30-AM34-AM35-AM39-AM40</f>
        <v>76692.8229047886</v>
      </c>
      <c r="AN41" s="15" t="n">
        <f aca="false">AM45+AN24-AN23-AN25-AN26-AN27-AN28-AN29-AN30-AN34-AN35-AN39-AN40</f>
        <v>79895.3997426601</v>
      </c>
      <c r="AO41" s="15" t="n">
        <f aca="false">AN45+AO24-AO23-AO25-AO26-AO27-AO28-AO29-AO30-AO34-AO35-AO39-AO40</f>
        <v>86727.4015330384</v>
      </c>
      <c r="AP41" s="15" t="n">
        <f aca="false">AO45+AP24-AP23-AP25-AP26-AP27-AP28-AP29-AP30-AP34-AP35-AP39-AP40</f>
        <v>72629.7590935906</v>
      </c>
      <c r="AQ41" s="15" t="n">
        <f aca="false">AP45+AQ24-AQ23-AQ25-AQ26-AQ27-AQ28-AQ29-AQ30-AQ34-AQ35-AQ39-AQ40</f>
        <v>79912.329592323</v>
      </c>
      <c r="AR41" s="15" t="n">
        <f aca="false">AQ45+AR24-AR23-AR25-AR26-AR27-AR28-AR29-AR30-AR34-AR35-AR39-AR40</f>
        <v>87194.9000910553</v>
      </c>
      <c r="AS41" s="15" t="n">
        <f aca="false">AR45+AS24-AS23-AS25-AS26-AS27-AS28-AS29-AS30-AS34-AS35-AS39-AS40</f>
        <v>77857.8513551331</v>
      </c>
      <c r="AT41" s="15" t="n">
        <f aca="false">AS45+AT24-AT23-AT25-AT26-AT27-AT28-AT29-AT30-AT34-AT35-AT39-AT40</f>
        <v>84407.7151918245</v>
      </c>
      <c r="AU41" s="15" t="n">
        <f aca="false">AT45+AU24-AU23-AU25-AU26-AU27-AU28-AU29-AU30-AU34-AU35-AU39-AU40</f>
        <v>90957.5790285158</v>
      </c>
      <c r="AV41" s="15" t="n">
        <f aca="false">AU45+AV24-AV23-AV25-AV26-AV27-AV28-AV29-AV30-AV34-AV35-AV39-AV40</f>
        <v>113436.720538014</v>
      </c>
      <c r="AW41" s="15" t="n">
        <f aca="false">AV45+AW24-AW23-AW25-AW26-AW27-AW28-AW29-AW30-AW34-AW35-AW39-AW40</f>
        <v>120028.949474899</v>
      </c>
      <c r="AX41" s="15" t="n">
        <f aca="false">AW45+AX24-AX23-AX25-AX26-AX27-AX28-AX29-AX30-AX34-AX35-AX39-AX40</f>
        <v>126621.178411785</v>
      </c>
      <c r="AY41" s="15" t="n">
        <f aca="false">AX45+AY24-AY23-AY25-AY26-AY27-AY28-AY29-AY30-AY34-AY35-AY39-AY40</f>
        <v>133213.40734867</v>
      </c>
      <c r="AZ41" s="15" t="n">
        <f aca="false">AY45+AZ24-AZ23-AZ25-AZ26-AZ27-AZ28-AZ29-AZ30-AZ34-AZ35-AZ39-AZ40</f>
        <v>88473.9584023706</v>
      </c>
      <c r="BA41" s="15" t="n">
        <f aca="false">AZ45+BA24-BA23-BA25-BA26-BA27-BA28-BA29-BA30-BA34-BA35-BA39-BA40</f>
        <v>95096.472172597</v>
      </c>
      <c r="BB41" s="15" t="n">
        <f aca="false">BA45+BB24-BB23-BB25-BB26-BB27-BB28-BB29-BB30-BB34-BB35-BB39-BB40</f>
        <v>80731.603738733</v>
      </c>
      <c r="BC41" s="15" t="n">
        <f aca="false">BB45+BC24-BC23-BC25-BC26-BC27-BC28-BC29-BC30-BC34-BC35-BC39-BC40</f>
        <v>87354.1175089593</v>
      </c>
      <c r="BD41" s="15" t="n">
        <f aca="false">BC45+BD24-BD23-BD25-BD26-BD27-BD28-BD29-BD30-BD34-BD35-BD39-BD40</f>
        <v>93976.6312791857</v>
      </c>
      <c r="BE41" s="15" t="n">
        <f aca="false">BD45+BE24-BE23-BE25-BE26-BE27-BE28-BE29-BE30-BE34-BE35-BE39-BE40</f>
        <v>99929.5137344201</v>
      </c>
      <c r="BF41" s="15" t="n">
        <f aca="false">BE45+BF24-BF23-BF25-BF26-BF27-BF28-BF29-BF30-BF34-BF35-BF39-BF40</f>
        <v>105882.396189654</v>
      </c>
      <c r="BG41" s="15" t="n">
        <f aca="false">BF45+BG24-BG23-BG25-BG26-BG27-BG28-BG29-BG30-BG34-BG35-BG39-BG40</f>
        <v>111835.278644889</v>
      </c>
      <c r="BH41" s="15" t="n">
        <f aca="false">BG45+BH24-BH23-BH25-BH26-BH27-BH28-BH29-BH30-BH34-BH35-BH39-BH40</f>
        <v>101858.883427316</v>
      </c>
      <c r="BI41" s="15" t="n">
        <f aca="false">BH45+BI24-BI23-BI25-BI26-BI27-BI28-BI29-BI30-BI34-BI35-BI39-BI40</f>
        <v>110661.929712875</v>
      </c>
      <c r="BJ41" s="15" t="n">
        <f aca="false">BI45+BJ24-BJ23-BJ25-BJ26-BJ27-BJ28-BJ29-BJ30-BJ34-BJ35-BJ39-BJ40</f>
        <v>126214.210169643</v>
      </c>
      <c r="BK41" s="15" t="n">
        <f aca="false">BJ45+BK24-BK23-BK25-BK26-BK27-BK28-BK29-BK30-BK34-BK35-BK39-BK40</f>
        <v>157695.768299218</v>
      </c>
    </row>
    <row r="42" customFormat="false" ht="15" hidden="false" customHeight="true" outlineLevel="0" collapsed="false">
      <c r="A42" s="10" t="s">
        <v>462</v>
      </c>
      <c r="D42" s="15" t="n">
        <f aca="false">p_mincash_m*D26</f>
        <v>3413.7</v>
      </c>
      <c r="E42" s="15" t="n">
        <f aca="false">p_mincash_m*E26</f>
        <v>3413.7</v>
      </c>
      <c r="F42" s="15" t="n">
        <f aca="false">p_mincash_m*F26</f>
        <v>8327.7</v>
      </c>
      <c r="G42" s="15" t="n">
        <f aca="false">p_mincash_m*G26</f>
        <v>8327.7</v>
      </c>
      <c r="H42" s="15" t="n">
        <f aca="false">p_mincash_m*H26</f>
        <v>14087.7</v>
      </c>
      <c r="I42" s="15" t="n">
        <f aca="false">p_mincash_m*I26</f>
        <v>14087.7</v>
      </c>
      <c r="J42" s="15" t="n">
        <f aca="false">p_mincash_m*J26</f>
        <v>14087.7</v>
      </c>
      <c r="K42" s="15" t="n">
        <f aca="false">p_mincash_m*K26</f>
        <v>14087.7</v>
      </c>
      <c r="L42" s="15" t="n">
        <f aca="false">p_mincash_m*L26</f>
        <v>14087.7</v>
      </c>
      <c r="M42" s="15" t="n">
        <f aca="false">p_mincash_m*M26</f>
        <v>14087.7</v>
      </c>
      <c r="N42" s="15" t="n">
        <f aca="false">p_mincash_m*N26</f>
        <v>14087.7</v>
      </c>
      <c r="O42" s="15" t="n">
        <f aca="false">p_mincash_m*O26</f>
        <v>14087.7</v>
      </c>
      <c r="P42" s="15" t="n">
        <f aca="false">p_mincash_m*P26</f>
        <v>14087.7</v>
      </c>
      <c r="Q42" s="15" t="n">
        <f aca="false">p_mincash_m*Q26</f>
        <v>14087.7</v>
      </c>
      <c r="R42" s="15" t="n">
        <f aca="false">p_mincash_m*R26</f>
        <v>14087.7</v>
      </c>
      <c r="S42" s="15" t="n">
        <f aca="false">p_mincash_m*S26</f>
        <v>14087.7</v>
      </c>
      <c r="T42" s="15" t="n">
        <f aca="false">p_mincash_m*T26</f>
        <v>14087.7</v>
      </c>
      <c r="U42" s="15" t="n">
        <f aca="false">p_mincash_m*U26</f>
        <v>14087.7</v>
      </c>
      <c r="V42" s="15" t="n">
        <f aca="false">p_mincash_m*V26</f>
        <v>14087.7</v>
      </c>
      <c r="W42" s="15" t="n">
        <f aca="false">p_mincash_m*W26</f>
        <v>14087.7</v>
      </c>
      <c r="X42" s="15" t="n">
        <f aca="false">p_mincash_m*X26</f>
        <v>14087.7</v>
      </c>
      <c r="Y42" s="15" t="n">
        <f aca="false">p_mincash_m*Y26</f>
        <v>14087.7</v>
      </c>
      <c r="Z42" s="15" t="n">
        <f aca="false">p_mincash_m*Z26</f>
        <v>14087.7</v>
      </c>
      <c r="AA42" s="15" t="n">
        <f aca="false">p_mincash_m*AA26</f>
        <v>14087.7</v>
      </c>
      <c r="AB42" s="15" t="n">
        <f aca="false">p_mincash_m*AB26</f>
        <v>14087.7</v>
      </c>
      <c r="AC42" s="15" t="n">
        <f aca="false">p_mincash_m*AC26</f>
        <v>14087.7</v>
      </c>
      <c r="AD42" s="15" t="n">
        <f aca="false">p_mincash_m*AD26</f>
        <v>14087.7</v>
      </c>
      <c r="AE42" s="15" t="n">
        <f aca="false">p_mincash_m*AE26</f>
        <v>14087.7</v>
      </c>
      <c r="AF42" s="15" t="n">
        <f aca="false">p_mincash_m*AF26</f>
        <v>14087.7</v>
      </c>
      <c r="AG42" s="15" t="n">
        <f aca="false">p_mincash_m*AG26</f>
        <v>14087.7</v>
      </c>
      <c r="AH42" s="15" t="n">
        <f aca="false">p_mincash_m*AH26</f>
        <v>14087.7</v>
      </c>
      <c r="AI42" s="15" t="n">
        <f aca="false">p_mincash_m*AI26</f>
        <v>14087.7</v>
      </c>
      <c r="AJ42" s="15" t="n">
        <f aca="false">p_mincash_m*AJ26</f>
        <v>14087.7</v>
      </c>
      <c r="AK42" s="15" t="n">
        <f aca="false">p_mincash_m*AK26</f>
        <v>14087.7</v>
      </c>
      <c r="AL42" s="15" t="n">
        <f aca="false">p_mincash_m*AL26</f>
        <v>14087.7</v>
      </c>
      <c r="AM42" s="15" t="n">
        <f aca="false">p_mincash_m*AM26</f>
        <v>14087.7</v>
      </c>
      <c r="AN42" s="15" t="n">
        <f aca="false">p_mincash_m*AN26</f>
        <v>14087.7</v>
      </c>
      <c r="AO42" s="15" t="n">
        <f aca="false">p_mincash_m*AO26</f>
        <v>14087.7</v>
      </c>
      <c r="AP42" s="15" t="n">
        <f aca="false">p_mincash_m*AP26</f>
        <v>14087.7</v>
      </c>
      <c r="AQ42" s="15" t="n">
        <f aca="false">p_mincash_m*AQ26</f>
        <v>14087.7</v>
      </c>
      <c r="AR42" s="15" t="n">
        <f aca="false">p_mincash_m*AR26</f>
        <v>14087.7</v>
      </c>
      <c r="AS42" s="15" t="n">
        <f aca="false">p_mincash_m*AS26</f>
        <v>14087.7</v>
      </c>
      <c r="AT42" s="15" t="n">
        <f aca="false">p_mincash_m*AT26</f>
        <v>14087.7</v>
      </c>
      <c r="AU42" s="15" t="n">
        <f aca="false">p_mincash_m*AU26</f>
        <v>14087.7</v>
      </c>
      <c r="AV42" s="15" t="n">
        <f aca="false">p_mincash_m*AV26</f>
        <v>14087.7</v>
      </c>
      <c r="AW42" s="15" t="n">
        <f aca="false">p_mincash_m*AW26</f>
        <v>14087.7</v>
      </c>
      <c r="AX42" s="15" t="n">
        <f aca="false">p_mincash_m*AX26</f>
        <v>14087.7</v>
      </c>
      <c r="AY42" s="15" t="n">
        <f aca="false">p_mincash_m*AY26</f>
        <v>14087.7</v>
      </c>
      <c r="AZ42" s="15" t="n">
        <f aca="false">p_mincash_m*AZ26</f>
        <v>14087.7</v>
      </c>
      <c r="BA42" s="15" t="n">
        <f aca="false">p_mincash_m*BA26</f>
        <v>14087.7</v>
      </c>
      <c r="BB42" s="15" t="n">
        <f aca="false">p_mincash_m*BB26</f>
        <v>14087.7</v>
      </c>
      <c r="BC42" s="15" t="n">
        <f aca="false">p_mincash_m*BC26</f>
        <v>14087.7</v>
      </c>
      <c r="BD42" s="15" t="n">
        <f aca="false">p_mincash_m*BD26</f>
        <v>14087.7</v>
      </c>
      <c r="BE42" s="15" t="n">
        <f aca="false">p_mincash_m*BE26</f>
        <v>14087.7</v>
      </c>
      <c r="BF42" s="15" t="n">
        <f aca="false">p_mincash_m*BF26</f>
        <v>14087.7</v>
      </c>
      <c r="BG42" s="15" t="n">
        <f aca="false">p_mincash_m*BG26</f>
        <v>14087.7</v>
      </c>
      <c r="BH42" s="15" t="n">
        <f aca="false">p_mincash_m*BH26</f>
        <v>14087.7</v>
      </c>
      <c r="BI42" s="15" t="n">
        <f aca="false">p_mincash_m*BI26</f>
        <v>14087.7</v>
      </c>
      <c r="BJ42" s="15" t="n">
        <f aca="false">p_mincash_m*BJ26</f>
        <v>14087.7</v>
      </c>
      <c r="BK42" s="15" t="n">
        <f aca="false">p_mincash_m*BK26</f>
        <v>14087.7</v>
      </c>
    </row>
    <row r="43" customFormat="false" ht="15" hidden="false" customHeight="true" outlineLevel="0" collapsed="false">
      <c r="A43" s="36" t="s">
        <v>463</v>
      </c>
      <c r="B43" s="32"/>
      <c r="C43" s="32"/>
      <c r="D43" s="37" t="n">
        <f aca="false">MAX(0,D42-D41)</f>
        <v>11485.6</v>
      </c>
      <c r="E43" s="37" t="n">
        <f aca="false">MAX(0,E42-E41)</f>
        <v>5417.9</v>
      </c>
      <c r="F43" s="37" t="n">
        <f aca="false">MAX(0,F42-F41)</f>
        <v>32046.9</v>
      </c>
      <c r="G43" s="37" t="n">
        <f aca="false">MAX(0,G42-G41)</f>
        <v>3310.9</v>
      </c>
      <c r="H43" s="37" t="n">
        <f aca="false">MAX(0,H42-H41)</f>
        <v>10455.9</v>
      </c>
      <c r="I43" s="37" t="n">
        <f aca="false">MAX(0,I42-I41)</f>
        <v>5424.05982044546</v>
      </c>
      <c r="J43" s="37" t="n">
        <f aca="false">MAX(0,J42-J41)</f>
        <v>6535.11815260709</v>
      </c>
      <c r="K43" s="37" t="n">
        <f aca="false">MAX(0,K42-K41)</f>
        <v>6260.56101278886</v>
      </c>
      <c r="L43" s="37" t="n">
        <f aca="false">MAX(0,L42-L41)</f>
        <v>6553.2152592458</v>
      </c>
      <c r="M43" s="37" t="n">
        <f aca="false">MAX(0,M42-M41)</f>
        <v>6845.86950570274</v>
      </c>
      <c r="N43" s="37" t="n">
        <f aca="false">MAX(0,N42-N41)</f>
        <v>9355.65299115065</v>
      </c>
      <c r="O43" s="37" t="n">
        <f aca="false">MAX(0,O42-O41)</f>
        <v>25274.0678512426</v>
      </c>
      <c r="P43" s="37" t="n">
        <f aca="false">MAX(0,P42-P41)</f>
        <v>12123.8089206864</v>
      </c>
      <c r="Q43" s="37" t="n">
        <f aca="false">MAX(0,Q42-Q41)</f>
        <v>11221.0207766188</v>
      </c>
      <c r="R43" s="37" t="n">
        <f aca="false">MAX(0,R42-R41)</f>
        <v>26006.2334099008</v>
      </c>
      <c r="S43" s="37" t="n">
        <f aca="false">MAX(0,S42-S41)</f>
        <v>11033.1619987436</v>
      </c>
      <c r="T43" s="37" t="n">
        <f aca="false">MAX(0,T42-T41)</f>
        <v>10466.9379426794</v>
      </c>
      <c r="U43" s="37" t="n">
        <f aca="false">MAX(0,U42-U41)</f>
        <v>22663.5750752505</v>
      </c>
      <c r="V43" s="37" t="n">
        <f aca="false">MAX(0,V42-V41)</f>
        <v>9026.80635655886</v>
      </c>
      <c r="W43" s="37" t="n">
        <f aca="false">MAX(0,W42-W41)</f>
        <v>0</v>
      </c>
      <c r="X43" s="37" t="n">
        <f aca="false">MAX(0,X42-X41)</f>
        <v>318.591132469352</v>
      </c>
      <c r="Y43" s="37" t="n">
        <f aca="false">MAX(0,Y42-Y41)</f>
        <v>0</v>
      </c>
      <c r="Z43" s="37" t="n">
        <f aca="false">MAX(0,Z42-Z41)</f>
        <v>0</v>
      </c>
      <c r="AA43" s="37" t="n">
        <f aca="false">MAX(0,AA42-AA41)</f>
        <v>6308.8495994482</v>
      </c>
      <c r="AB43" s="37" t="n">
        <f aca="false">MAX(0,AB42-AB41)</f>
        <v>0</v>
      </c>
      <c r="AC43" s="37" t="n">
        <f aca="false">MAX(0,AC42-AC41)</f>
        <v>0</v>
      </c>
      <c r="AD43" s="37" t="n">
        <f aca="false">MAX(0,AD42-AD41)</f>
        <v>17124.0799215971</v>
      </c>
      <c r="AE43" s="37" t="n">
        <f aca="false">MAX(0,AE42-AE41)</f>
        <v>0</v>
      </c>
      <c r="AF43" s="37" t="n">
        <f aca="false">MAX(0,AF42-AF41)</f>
        <v>0</v>
      </c>
      <c r="AG43" s="37" t="n">
        <f aca="false">MAX(0,AG42-AG41)</f>
        <v>0</v>
      </c>
      <c r="AH43" s="37" t="n">
        <f aca="false">MAX(0,AH42-AH41)</f>
        <v>0</v>
      </c>
      <c r="AI43" s="37" t="n">
        <f aca="false">MAX(0,AI42-AI41)</f>
        <v>0</v>
      </c>
      <c r="AJ43" s="37" t="n">
        <f aca="false">MAX(0,AJ42-AJ41)</f>
        <v>0</v>
      </c>
      <c r="AK43" s="37" t="n">
        <f aca="false">MAX(0,AK42-AK41)</f>
        <v>0</v>
      </c>
      <c r="AL43" s="37" t="n">
        <f aca="false">MAX(0,AL42-AL41)</f>
        <v>0</v>
      </c>
      <c r="AM43" s="37" t="n">
        <f aca="false">MAX(0,AM42-AM41)</f>
        <v>0</v>
      </c>
      <c r="AN43" s="37" t="n">
        <f aca="false">MAX(0,AN42-AN41)</f>
        <v>0</v>
      </c>
      <c r="AO43" s="37" t="n">
        <f aca="false">MAX(0,AO42-AO41)</f>
        <v>0</v>
      </c>
      <c r="AP43" s="37" t="n">
        <f aca="false">MAX(0,AP42-AP41)</f>
        <v>0</v>
      </c>
      <c r="AQ43" s="37" t="n">
        <f aca="false">MAX(0,AQ42-AQ41)</f>
        <v>0</v>
      </c>
      <c r="AR43" s="37" t="n">
        <f aca="false">MAX(0,AR42-AR41)</f>
        <v>0</v>
      </c>
      <c r="AS43" s="37" t="n">
        <f aca="false">MAX(0,AS42-AS41)</f>
        <v>0</v>
      </c>
      <c r="AT43" s="37" t="n">
        <f aca="false">MAX(0,AT42-AT41)</f>
        <v>0</v>
      </c>
      <c r="AU43" s="37" t="n">
        <f aca="false">MAX(0,AU42-AU41)</f>
        <v>0</v>
      </c>
      <c r="AV43" s="37" t="n">
        <f aca="false">MAX(0,AV42-AV41)</f>
        <v>0</v>
      </c>
      <c r="AW43" s="37" t="n">
        <f aca="false">MAX(0,AW42-AW41)</f>
        <v>0</v>
      </c>
      <c r="AX43" s="37" t="n">
        <f aca="false">MAX(0,AX42-AX41)</f>
        <v>0</v>
      </c>
      <c r="AY43" s="37" t="n">
        <f aca="false">MAX(0,AY42-AY41)</f>
        <v>0</v>
      </c>
      <c r="AZ43" s="37" t="n">
        <f aca="false">MAX(0,AZ42-AZ41)</f>
        <v>0</v>
      </c>
      <c r="BA43" s="37" t="n">
        <f aca="false">MAX(0,BA42-BA41)</f>
        <v>0</v>
      </c>
      <c r="BB43" s="37" t="n">
        <f aca="false">MAX(0,BB42-BB41)</f>
        <v>0</v>
      </c>
      <c r="BC43" s="37" t="n">
        <f aca="false">MAX(0,BC42-BC41)</f>
        <v>0</v>
      </c>
      <c r="BD43" s="37" t="n">
        <f aca="false">MAX(0,BD42-BD41)</f>
        <v>0</v>
      </c>
      <c r="BE43" s="37" t="n">
        <f aca="false">MAX(0,BE42-BE41)</f>
        <v>0</v>
      </c>
      <c r="BF43" s="37" t="n">
        <f aca="false">MAX(0,BF42-BF41)</f>
        <v>0</v>
      </c>
      <c r="BG43" s="37" t="n">
        <f aca="false">MAX(0,BG42-BG41)</f>
        <v>0</v>
      </c>
      <c r="BH43" s="37" t="n">
        <f aca="false">MAX(0,BH42-BH41)</f>
        <v>0</v>
      </c>
      <c r="BI43" s="37" t="n">
        <f aca="false">MAX(0,BI42-BI41)</f>
        <v>0</v>
      </c>
      <c r="BJ43" s="37" t="n">
        <f aca="false">MAX(0,BJ42-BJ41)</f>
        <v>0</v>
      </c>
      <c r="BK43" s="37" t="n">
        <f aca="false">MAX(0,BK42-BK41)</f>
        <v>0</v>
      </c>
      <c r="BL43" s="32"/>
    </row>
    <row r="44" customFormat="false" ht="15" hidden="false" customHeight="true" outlineLevel="0" collapsed="false">
      <c r="A44" s="8" t="s">
        <v>464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25" t="n">
        <f aca="false">p_payout*MAX(0,MIN(AA41+AA43-2*AA42-Anual!$D$14,SUM(Anual!$C$15:$D$15)-SUM($D$44:Z$44)))</f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25" t="n">
        <f aca="false">p_payout*MAX(0,MIN(AM41+AM43-2*AM42-Anual!$E$14,SUM(Anual!$C$15:$E$15)-SUM($D$44:AL$44)))</f>
        <v>2836.64059832986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25" t="n">
        <f aca="false">p_payout*MAX(0,MIN(AY41+AY43-2*AY42-Anual!$F$14,SUM(Anual!$C$15:$F$15)-SUM($D$44:AX$44)))</f>
        <v>50794.4627165253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</row>
    <row r="45" customFormat="false" ht="15" hidden="false" customHeight="true" outlineLevel="0" collapsed="false">
      <c r="A45" s="36" t="s">
        <v>465</v>
      </c>
      <c r="B45" s="32"/>
      <c r="C45" s="39" t="n">
        <v>0</v>
      </c>
      <c r="D45" s="37" t="n">
        <f aca="false">D41+D43-D44</f>
        <v>3413.7</v>
      </c>
      <c r="E45" s="37" t="n">
        <f aca="false">E41+E43-E44</f>
        <v>3413.7</v>
      </c>
      <c r="F45" s="37" t="n">
        <f aca="false">F41+F43-F44</f>
        <v>8327.7</v>
      </c>
      <c r="G45" s="37" t="n">
        <f aca="false">G41+G43-G44</f>
        <v>8327.7</v>
      </c>
      <c r="H45" s="37" t="n">
        <f aca="false">H41+H43-H44</f>
        <v>14087.7</v>
      </c>
      <c r="I45" s="37" t="n">
        <f aca="false">I41+I43-I44</f>
        <v>14087.7</v>
      </c>
      <c r="J45" s="37" t="n">
        <f aca="false">J41+J43-J44</f>
        <v>14087.7</v>
      </c>
      <c r="K45" s="37" t="n">
        <f aca="false">K41+K43-K44</f>
        <v>14087.7</v>
      </c>
      <c r="L45" s="37" t="n">
        <f aca="false">L41+L43-L44</f>
        <v>14087.7</v>
      </c>
      <c r="M45" s="37" t="n">
        <f aca="false">M41+M43-M44</f>
        <v>14087.7</v>
      </c>
      <c r="N45" s="37" t="n">
        <f aca="false">N41+N43-N44</f>
        <v>14087.7</v>
      </c>
      <c r="O45" s="37" t="n">
        <f aca="false">O41+O43-O44</f>
        <v>14087.7</v>
      </c>
      <c r="P45" s="37" t="n">
        <f aca="false">P41+P43-P44</f>
        <v>14087.7</v>
      </c>
      <c r="Q45" s="37" t="n">
        <f aca="false">Q41+Q43-Q44</f>
        <v>14087.7</v>
      </c>
      <c r="R45" s="37" t="n">
        <f aca="false">R41+R43-R44</f>
        <v>14087.7</v>
      </c>
      <c r="S45" s="37" t="n">
        <f aca="false">S41+S43-S44</f>
        <v>14087.7</v>
      </c>
      <c r="T45" s="37" t="n">
        <f aca="false">T41+T43-T44</f>
        <v>14087.7</v>
      </c>
      <c r="U45" s="37" t="n">
        <f aca="false">U41+U43-U44</f>
        <v>14087.7</v>
      </c>
      <c r="V45" s="37" t="n">
        <f aca="false">V41+V43-V44</f>
        <v>14087.7</v>
      </c>
      <c r="W45" s="37" t="n">
        <f aca="false">W41+W43-W44</f>
        <v>14575.6175624077</v>
      </c>
      <c r="X45" s="37" t="n">
        <f aca="false">X41+X43-X44</f>
        <v>14087.7</v>
      </c>
      <c r="Y45" s="37" t="n">
        <f aca="false">Y41+Y43-Y44</f>
        <v>14746.5595139788</v>
      </c>
      <c r="Z45" s="37" t="n">
        <f aca="false">Z41+Z43-Z44</f>
        <v>15912.7858483658</v>
      </c>
      <c r="AA45" s="37" t="n">
        <f aca="false">AA41+AA43-AA44</f>
        <v>14087.7</v>
      </c>
      <c r="AB45" s="37" t="n">
        <f aca="false">AB41+AB43-AB44</f>
        <v>15513.1717302024</v>
      </c>
      <c r="AC45" s="37" t="n">
        <f aca="false">AC41+AC43-AC44</f>
        <v>17395.0427252841</v>
      </c>
      <c r="AD45" s="37" t="n">
        <f aca="false">AD41+AD43-AD44</f>
        <v>14087.7</v>
      </c>
      <c r="AE45" s="37" t="n">
        <f aca="false">AE41+AE43-AE44</f>
        <v>15705.0044246466</v>
      </c>
      <c r="AF45" s="37" t="n">
        <f aca="false">AF41+AF43-AF44</f>
        <v>21211.4980382251</v>
      </c>
      <c r="AG45" s="37" t="n">
        <f aca="false">AG41+AG43-AG44</f>
        <v>42126.4037426682</v>
      </c>
      <c r="AH45" s="37" t="n">
        <f aca="false">AH41+AH43-AH44</f>
        <v>47268.580493554</v>
      </c>
      <c r="AI45" s="37" t="n">
        <f aca="false">AI41+AI43-AI44</f>
        <v>52613.1163935312</v>
      </c>
      <c r="AJ45" s="37" t="n">
        <f aca="false">AJ41+AJ43-AJ44</f>
        <v>58307.8524146252</v>
      </c>
      <c r="AK45" s="37" t="n">
        <f aca="false">AK41+AK43-AK44</f>
        <v>64217.6840502601</v>
      </c>
      <c r="AL45" s="37" t="n">
        <f aca="false">AL41+AL43-AL44</f>
        <v>70342.6113004358</v>
      </c>
      <c r="AM45" s="37" t="n">
        <f aca="false">AM41+AM43-AM44</f>
        <v>73856.1823064588</v>
      </c>
      <c r="AN45" s="37" t="n">
        <f aca="false">AN41+AN43-AN44</f>
        <v>79895.3997426601</v>
      </c>
      <c r="AO45" s="37" t="n">
        <f aca="false">AO41+AO43-AO44</f>
        <v>86727.4015330384</v>
      </c>
      <c r="AP45" s="37" t="n">
        <f aca="false">AP41+AP43-AP44</f>
        <v>72629.7590935906</v>
      </c>
      <c r="AQ45" s="37" t="n">
        <f aca="false">AQ41+AQ43-AQ44</f>
        <v>79912.329592323</v>
      </c>
      <c r="AR45" s="37" t="n">
        <f aca="false">AR41+AR43-AR44</f>
        <v>87194.9000910553</v>
      </c>
      <c r="AS45" s="37" t="n">
        <f aca="false">AS41+AS43-AS44</f>
        <v>77857.8513551331</v>
      </c>
      <c r="AT45" s="37" t="n">
        <f aca="false">AT41+AT43-AT44</f>
        <v>84407.7151918245</v>
      </c>
      <c r="AU45" s="37" t="n">
        <f aca="false">AU41+AU43-AU44</f>
        <v>90957.5790285158</v>
      </c>
      <c r="AV45" s="37" t="n">
        <f aca="false">AV41+AV43-AV44</f>
        <v>113436.720538014</v>
      </c>
      <c r="AW45" s="37" t="n">
        <f aca="false">AW41+AW43-AW44</f>
        <v>120028.949474899</v>
      </c>
      <c r="AX45" s="37" t="n">
        <f aca="false">AX41+AX43-AX44</f>
        <v>126621.178411785</v>
      </c>
      <c r="AY45" s="37" t="n">
        <f aca="false">AY41+AY43-AY44</f>
        <v>82418.9446321443</v>
      </c>
      <c r="AZ45" s="37" t="n">
        <f aca="false">AZ41+AZ43-AZ44</f>
        <v>88473.9584023706</v>
      </c>
      <c r="BA45" s="37" t="n">
        <f aca="false">BA41+BA43-BA44</f>
        <v>95096.472172597</v>
      </c>
      <c r="BB45" s="37" t="n">
        <f aca="false">BB41+BB43-BB44</f>
        <v>80731.603738733</v>
      </c>
      <c r="BC45" s="37" t="n">
        <f aca="false">BC41+BC43-BC44</f>
        <v>87354.1175089593</v>
      </c>
      <c r="BD45" s="37" t="n">
        <f aca="false">BD41+BD43-BD44</f>
        <v>93976.6312791857</v>
      </c>
      <c r="BE45" s="37" t="n">
        <f aca="false">BE41+BE43-BE44</f>
        <v>99929.5137344201</v>
      </c>
      <c r="BF45" s="37" t="n">
        <f aca="false">BF41+BF43-BF44</f>
        <v>105882.396189654</v>
      </c>
      <c r="BG45" s="37" t="n">
        <f aca="false">BG41+BG43-BG44</f>
        <v>111835.278644889</v>
      </c>
      <c r="BH45" s="37" t="n">
        <f aca="false">BH41+BH43-BH44</f>
        <v>101858.883427316</v>
      </c>
      <c r="BI45" s="37" t="n">
        <f aca="false">BI41+BI43-BI44</f>
        <v>110661.929712875</v>
      </c>
      <c r="BJ45" s="37" t="n">
        <f aca="false">BJ41+BJ43-BJ44</f>
        <v>126214.210169643</v>
      </c>
      <c r="BK45" s="37" t="n">
        <f aca="false">BK41+BK43-BK44</f>
        <v>157695.768299218</v>
      </c>
      <c r="BL45" s="32"/>
    </row>
    <row r="46" customFormat="false" ht="15" hidden="false" customHeight="true" outlineLevel="0" collapsed="false">
      <c r="A46" s="10" t="s">
        <v>466</v>
      </c>
      <c r="C46" s="15" t="n">
        <f aca="false">-c_phase0</f>
        <v>-2675</v>
      </c>
      <c r="D46" s="15" t="n">
        <f aca="false">-D43+D44*(1-p_divtax)</f>
        <v>-11485.6</v>
      </c>
      <c r="E46" s="15" t="n">
        <f aca="false">-E43+E44*(1-p_divtax)</f>
        <v>-5417.9</v>
      </c>
      <c r="F46" s="15" t="n">
        <f aca="false">-F43+F44*(1-p_divtax)</f>
        <v>-32046.9</v>
      </c>
      <c r="G46" s="15" t="n">
        <f aca="false">-G43+G44*(1-p_divtax)</f>
        <v>-3310.9</v>
      </c>
      <c r="H46" s="15" t="n">
        <f aca="false">-H43+H44*(1-p_divtax)</f>
        <v>-10455.9</v>
      </c>
      <c r="I46" s="15" t="n">
        <f aca="false">-I43+I44*(1-p_divtax)</f>
        <v>-5424.05982044546</v>
      </c>
      <c r="J46" s="15" t="n">
        <f aca="false">-J43+J44*(1-p_divtax)</f>
        <v>-6535.11815260709</v>
      </c>
      <c r="K46" s="15" t="n">
        <f aca="false">-K43+K44*(1-p_divtax)</f>
        <v>-6260.56101278886</v>
      </c>
      <c r="L46" s="15" t="n">
        <f aca="false">-L43+L44*(1-p_divtax)</f>
        <v>-6553.2152592458</v>
      </c>
      <c r="M46" s="15" t="n">
        <f aca="false">-M43+M44*(1-p_divtax)</f>
        <v>-6845.86950570274</v>
      </c>
      <c r="N46" s="15" t="n">
        <f aca="false">-N43+N44*(1-p_divtax)</f>
        <v>-9355.65299115065</v>
      </c>
      <c r="O46" s="15" t="n">
        <f aca="false">-O43+O44*(1-p_divtax)</f>
        <v>-25274.0678512426</v>
      </c>
      <c r="P46" s="15" t="n">
        <f aca="false">-P43+P44*(1-p_divtax)</f>
        <v>-12123.8089206864</v>
      </c>
      <c r="Q46" s="15" t="n">
        <f aca="false">-Q43+Q44*(1-p_divtax)</f>
        <v>-11221.0207766188</v>
      </c>
      <c r="R46" s="15" t="n">
        <f aca="false">-R43+R44*(1-p_divtax)</f>
        <v>-26006.2334099008</v>
      </c>
      <c r="S46" s="15" t="n">
        <f aca="false">-S43+S44*(1-p_divtax)</f>
        <v>-11033.1619987436</v>
      </c>
      <c r="T46" s="15" t="n">
        <f aca="false">-T43+T44*(1-p_divtax)</f>
        <v>-10466.9379426794</v>
      </c>
      <c r="U46" s="15" t="n">
        <f aca="false">-U43+U44*(1-p_divtax)</f>
        <v>-22663.5750752505</v>
      </c>
      <c r="V46" s="15" t="n">
        <f aca="false">-V43+V44*(1-p_divtax)</f>
        <v>-9026.80635655886</v>
      </c>
      <c r="W46" s="15" t="n">
        <f aca="false">-W43+W44*(1-p_divtax)</f>
        <v>0</v>
      </c>
      <c r="X46" s="15" t="n">
        <f aca="false">-X43+X44*(1-p_divtax)</f>
        <v>-318.591132469352</v>
      </c>
      <c r="Y46" s="15" t="n">
        <f aca="false">-Y43+Y44*(1-p_divtax)</f>
        <v>0</v>
      </c>
      <c r="Z46" s="15" t="n">
        <f aca="false">-Z43+Z44*(1-p_divtax)</f>
        <v>0</v>
      </c>
      <c r="AA46" s="15" t="n">
        <f aca="false">-AA43+AA44*(1-p_divtax)</f>
        <v>-6308.8495994482</v>
      </c>
      <c r="AB46" s="15" t="n">
        <f aca="false">-AB43+AB44*(1-p_divtax)</f>
        <v>0</v>
      </c>
      <c r="AC46" s="15" t="n">
        <f aca="false">-AC43+AC44*(1-p_divtax)</f>
        <v>0</v>
      </c>
      <c r="AD46" s="15" t="n">
        <f aca="false">-AD43+AD44*(1-p_divtax)</f>
        <v>-17124.0799215971</v>
      </c>
      <c r="AE46" s="15" t="n">
        <f aca="false">-AE43+AE44*(1-p_divtax)</f>
        <v>0</v>
      </c>
      <c r="AF46" s="15" t="n">
        <f aca="false">-AF43+AF44*(1-p_divtax)</f>
        <v>0</v>
      </c>
      <c r="AG46" s="15" t="n">
        <f aca="false">-AG43+AG44*(1-p_divtax)</f>
        <v>0</v>
      </c>
      <c r="AH46" s="15" t="n">
        <f aca="false">-AH43+AH44*(1-p_divtax)</f>
        <v>0</v>
      </c>
      <c r="AI46" s="15" t="n">
        <f aca="false">-AI43+AI44*(1-p_divtax)</f>
        <v>0</v>
      </c>
      <c r="AJ46" s="15" t="n">
        <f aca="false">-AJ43+AJ44*(1-p_divtax)</f>
        <v>0</v>
      </c>
      <c r="AK46" s="15" t="n">
        <f aca="false">-AK43+AK44*(1-p_divtax)</f>
        <v>0</v>
      </c>
      <c r="AL46" s="15" t="n">
        <f aca="false">-AL43+AL44*(1-p_divtax)</f>
        <v>0</v>
      </c>
      <c r="AM46" s="15" t="n">
        <f aca="false">-AM43+AM44*(1-p_divtax)</f>
        <v>2552.97653849687</v>
      </c>
      <c r="AN46" s="15" t="n">
        <f aca="false">-AN43+AN44*(1-p_divtax)</f>
        <v>0</v>
      </c>
      <c r="AO46" s="15" t="n">
        <f aca="false">-AO43+AO44*(1-p_divtax)</f>
        <v>0</v>
      </c>
      <c r="AP46" s="15" t="n">
        <f aca="false">-AP43+AP44*(1-p_divtax)</f>
        <v>0</v>
      </c>
      <c r="AQ46" s="15" t="n">
        <f aca="false">-AQ43+AQ44*(1-p_divtax)</f>
        <v>0</v>
      </c>
      <c r="AR46" s="15" t="n">
        <f aca="false">-AR43+AR44*(1-p_divtax)</f>
        <v>0</v>
      </c>
      <c r="AS46" s="15" t="n">
        <f aca="false">-AS43+AS44*(1-p_divtax)</f>
        <v>0</v>
      </c>
      <c r="AT46" s="15" t="n">
        <f aca="false">-AT43+AT44*(1-p_divtax)</f>
        <v>0</v>
      </c>
      <c r="AU46" s="15" t="n">
        <f aca="false">-AU43+AU44*(1-p_divtax)</f>
        <v>0</v>
      </c>
      <c r="AV46" s="15" t="n">
        <f aca="false">-AV43+AV44*(1-p_divtax)</f>
        <v>0</v>
      </c>
      <c r="AW46" s="15" t="n">
        <f aca="false">-AW43+AW44*(1-p_divtax)</f>
        <v>0</v>
      </c>
      <c r="AX46" s="15" t="n">
        <f aca="false">-AX43+AX44*(1-p_divtax)</f>
        <v>0</v>
      </c>
      <c r="AY46" s="15" t="n">
        <f aca="false">-AY43+AY44*(1-p_divtax)</f>
        <v>45715.0164448728</v>
      </c>
      <c r="AZ46" s="15" t="n">
        <f aca="false">-AZ43+AZ44*(1-p_divtax)</f>
        <v>0</v>
      </c>
      <c r="BA46" s="15" t="n">
        <f aca="false">-BA43+BA44*(1-p_divtax)</f>
        <v>0</v>
      </c>
      <c r="BB46" s="15" t="n">
        <f aca="false">-BB43+BB44*(1-p_divtax)</f>
        <v>0</v>
      </c>
      <c r="BC46" s="15" t="n">
        <f aca="false">-BC43+BC44*(1-p_divtax)</f>
        <v>0</v>
      </c>
      <c r="BD46" s="15" t="n">
        <f aca="false">-BD43+BD44*(1-p_divtax)</f>
        <v>0</v>
      </c>
      <c r="BE46" s="15" t="n">
        <f aca="false">-BE43+BE44*(1-p_divtax)</f>
        <v>0</v>
      </c>
      <c r="BF46" s="15" t="n">
        <f aca="false">-BF43+BF44*(1-p_divtax)</f>
        <v>0</v>
      </c>
      <c r="BG46" s="15" t="n">
        <f aca="false">-BG43+BG44*(1-p_divtax)</f>
        <v>0</v>
      </c>
      <c r="BH46" s="15" t="n">
        <f aca="false">-BH43+BH44*(1-p_divtax)</f>
        <v>0</v>
      </c>
      <c r="BI46" s="15" t="n">
        <f aca="false">-BI43+BI44*(1-p_divtax)</f>
        <v>0</v>
      </c>
      <c r="BJ46" s="15" t="n">
        <f aca="false">-BJ43+BJ44*(1-p_divtax)</f>
        <v>0</v>
      </c>
      <c r="BK46" s="15" t="n">
        <f aca="false">-BK43+BK44*(1-p_divtax)</f>
        <v>0</v>
      </c>
    </row>
    <row r="48" customFormat="false" ht="15" hidden="false" customHeight="true" outlineLevel="0" collapsed="false">
      <c r="A48" s="11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2"/>
    <col collapsed="false" customWidth="true" hidden="false" outlineLevel="0" max="8" min="3" style="1" width="13"/>
  </cols>
  <sheetData>
    <row r="1" customFormat="false" ht="17.25" hidden="false" customHeight="true" outlineLevel="0" collapsed="false">
      <c r="B1" s="7" t="s">
        <v>468</v>
      </c>
    </row>
    <row r="3" customFormat="false" ht="15" hidden="false" customHeight="true" outlineLevel="0" collapsed="false">
      <c r="B3" s="12" t="s">
        <v>225</v>
      </c>
      <c r="C3" s="12" t="s">
        <v>469</v>
      </c>
      <c r="D3" s="12" t="s">
        <v>470</v>
      </c>
      <c r="E3" s="12" t="s">
        <v>471</v>
      </c>
      <c r="F3" s="12" t="s">
        <v>472</v>
      </c>
      <c r="G3" s="12" t="s">
        <v>473</v>
      </c>
      <c r="H3" s="12" t="s">
        <v>474</v>
      </c>
    </row>
    <row r="4" customFormat="false" ht="15" hidden="false" customHeight="true" outlineLevel="0" collapsed="false">
      <c r="B4" s="8" t="s">
        <v>475</v>
      </c>
      <c r="C4" s="38" t="n">
        <f aca="false">SUM(Mensual!D15:O15)</f>
        <v>6302.42776659375</v>
      </c>
      <c r="D4" s="38" t="n">
        <f aca="false">SUM(Mensual!P15:AA15)</f>
        <v>174117.932079992</v>
      </c>
      <c r="E4" s="38" t="n">
        <f aca="false">SUM(Mensual!AB15:AM15)</f>
        <v>265071.341969054</v>
      </c>
      <c r="F4" s="38" t="n">
        <f aca="false">SUM(Mensual!AN15:AY15)</f>
        <v>269198.518589725</v>
      </c>
      <c r="G4" s="38" t="n">
        <f aca="false">SUM(Mensual!AZ15:BK15)</f>
        <v>261122.563032033</v>
      </c>
      <c r="H4" s="25" t="n">
        <f aca="false">SUM(C4:G4)</f>
        <v>975812.783437397</v>
      </c>
    </row>
    <row r="5" customFormat="false" ht="15" hidden="false" customHeight="true" outlineLevel="0" collapsed="false">
      <c r="B5" s="10" t="s">
        <v>476</v>
      </c>
      <c r="C5" s="38" t="n">
        <f aca="false">-SUM(Mensual!D18:O18)*(1+p_expiry)</f>
        <v>-2642.93321507268</v>
      </c>
      <c r="D5" s="38" t="n">
        <f aca="false">-SUM(Mensual!P18:AA18)*(1+p_expiry)</f>
        <v>-70272.8833305628</v>
      </c>
      <c r="E5" s="38" t="n">
        <f aca="false">-SUM(Mensual!AB18:AM18)*(1+p_expiry)</f>
        <v>-110150.997469071</v>
      </c>
      <c r="F5" s="38" t="n">
        <f aca="false">-SUM(Mensual!AN18:AY18)*(1+p_expiry)</f>
        <v>-115701.157220724</v>
      </c>
      <c r="G5" s="38" t="n">
        <f aca="false">-SUM(Mensual!AZ18:BK18)*(1+p_expiry)</f>
        <v>-115701.157220724</v>
      </c>
      <c r="H5" s="25" t="n">
        <f aca="false">SUM(C5:G5)</f>
        <v>-414469.128456154</v>
      </c>
    </row>
    <row r="6" customFormat="false" ht="15" hidden="false" customHeight="true" outlineLevel="0" collapsed="false">
      <c r="B6" s="10" t="s">
        <v>477</v>
      </c>
      <c r="C6" s="38" t="n">
        <f aca="false">-(SUM(Mensual!D25:O25)+SUM(Mensual!D15:O15)*p_baddebt+SUM(Mensual!D36:O36))</f>
        <v>-315.121388329688</v>
      </c>
      <c r="D6" s="38" t="n">
        <f aca="false">-(SUM(Mensual!P25:AA25)+SUM(Mensual!P15:AA15)*p_baddebt+SUM(Mensual!P36:AA36))</f>
        <v>-8705.8966039996</v>
      </c>
      <c r="E6" s="38" t="n">
        <f aca="false">-(SUM(Mensual!AB25:AM25)+SUM(Mensual!AB15:AM15)*p_baddebt+SUM(Mensual!AB36:AM36))</f>
        <v>-13253.5670984527</v>
      </c>
      <c r="F6" s="38" t="n">
        <f aca="false">-(SUM(Mensual!AN25:AY25)+SUM(Mensual!AN15:AY15)*p_baddebt+SUM(Mensual!AN36:AY36))</f>
        <v>-13459.9259294862</v>
      </c>
      <c r="G6" s="38" t="n">
        <f aca="false">-(SUM(Mensual!AZ25:BK25)+SUM(Mensual!AZ15:BK15)*p_baddebt+SUM(Mensual!AZ36:BK36))</f>
        <v>-13056.1281516017</v>
      </c>
      <c r="H6" s="25" t="n">
        <f aca="false">SUM(C6:G6)</f>
        <v>-48790.6391718699</v>
      </c>
    </row>
    <row r="7" customFormat="false" ht="15" hidden="false" customHeight="true" outlineLevel="0" collapsed="false">
      <c r="B7" s="10" t="s">
        <v>478</v>
      </c>
      <c r="C7" s="38" t="n">
        <f aca="false">-(SUM(Mensual!D26:O26)+SUM(Mensual!D30:O30))</f>
        <v>-45962.3</v>
      </c>
      <c r="D7" s="38" t="n">
        <f aca="false">-(SUM(Mensual!P26:AA26)+SUM(Mensual!P30:AA30))</f>
        <v>-56918.3</v>
      </c>
      <c r="E7" s="38" t="n">
        <f aca="false">-(SUM(Mensual!AB26:AM26)+SUM(Mensual!AB30:AM30))</f>
        <v>-56918.3</v>
      </c>
      <c r="F7" s="38" t="n">
        <f aca="false">-(SUM(Mensual!AN26:AY26)+SUM(Mensual!AN30:AY30))</f>
        <v>-56918.3</v>
      </c>
      <c r="G7" s="38" t="n">
        <f aca="false">-(SUM(Mensual!AZ26:BK26)+SUM(Mensual!AZ30:BK30))</f>
        <v>-56918.3</v>
      </c>
      <c r="H7" s="25" t="n">
        <f aca="false">SUM(C7:G7)</f>
        <v>-273635.5</v>
      </c>
    </row>
    <row r="8" customFormat="false" ht="15" hidden="false" customHeight="true" outlineLevel="0" collapsed="false">
      <c r="B8" s="10" t="s">
        <v>479</v>
      </c>
      <c r="C8" s="38" t="n">
        <f aca="false">-(SUM(Mensual!D28:O28)+SUM(Mensual!D29:O29))</f>
        <v>-35538.5</v>
      </c>
      <c r="D8" s="38" t="n">
        <f aca="false">-(SUM(Mensual!P28:AA28)+SUM(Mensual!P29:AA29))</f>
        <v>-13056</v>
      </c>
      <c r="E8" s="38" t="n">
        <f aca="false">-(SUM(Mensual!AB28:AM28)+SUM(Mensual!AB29:AM29))</f>
        <v>-0</v>
      </c>
      <c r="F8" s="38" t="n">
        <f aca="false">-(SUM(Mensual!AN28:AY28)+SUM(Mensual!AN29:AY29))</f>
        <v>-0</v>
      </c>
      <c r="G8" s="38" t="n">
        <f aca="false">-(SUM(Mensual!AZ28:BK28)+SUM(Mensual!AZ29:BK29))</f>
        <v>-0</v>
      </c>
      <c r="H8" s="25" t="n">
        <f aca="false">SUM(C8:G8)</f>
        <v>-48594.5</v>
      </c>
    </row>
    <row r="9" customFormat="false" ht="15" hidden="false" customHeight="true" outlineLevel="0" collapsed="false">
      <c r="B9" s="10" t="s">
        <v>480</v>
      </c>
      <c r="C9" s="38" t="n">
        <f aca="false">-(SUM(Mensual!D35:O35)+SUM(Mensual!D27:O27)+SUM(Mensual!D37:O37))</f>
        <v>-1339.6589540875</v>
      </c>
      <c r="D9" s="38" t="n">
        <f aca="false">-(SUM(Mensual!P35:AA35)+SUM(Mensual!P27:AA27)+SUM(Mensual!P37:AA37))</f>
        <v>-3409.46720688879</v>
      </c>
      <c r="E9" s="38" t="n">
        <f aca="false">-(SUM(Mensual!AB35:AM35)+SUM(Mensual!AB27:AM27)+SUM(Mensual!AB37:AM37))</f>
        <v>-4706.98349747579</v>
      </c>
      <c r="F9" s="38" t="n">
        <f aca="false">-(SUM(Mensual!AN35:AY35)+SUM(Mensual!AN27:AY27)+SUM(Mensual!AN37:AY37))</f>
        <v>-4706.98349747579</v>
      </c>
      <c r="G9" s="38" t="n">
        <f aca="false">-(SUM(Mensual!AZ35:BK35)+SUM(Mensual!AZ27:BK27)+SUM(Mensual!AZ37:BK37))</f>
        <v>-4706.98349747579</v>
      </c>
      <c r="H9" s="25" t="n">
        <f aca="false">SUM(C9:G9)</f>
        <v>-18870.0766534037</v>
      </c>
    </row>
    <row r="10" customFormat="false" ht="15" hidden="false" customHeight="true" outlineLevel="0" collapsed="false">
      <c r="B10" s="8" t="s">
        <v>481</v>
      </c>
      <c r="C10" s="38" t="n">
        <f aca="false">SUM(Mensual!D38:O38)</f>
        <v>-79496.0857908961</v>
      </c>
      <c r="D10" s="38" t="n">
        <f aca="false">SUM(Mensual!P38:AA38)</f>
        <v>21755.3849385407</v>
      </c>
      <c r="E10" s="38" t="n">
        <f aca="false">SUM(Mensual!AB38:AM38)</f>
        <v>80041.493904054</v>
      </c>
      <c r="F10" s="38" t="n">
        <f aca="false">SUM(Mensual!AN38:AY38)</f>
        <v>78412.1519420391</v>
      </c>
      <c r="G10" s="38" t="n">
        <f aca="false">SUM(Mensual!AZ38:BK38)</f>
        <v>70739.9941622319</v>
      </c>
      <c r="H10" s="25" t="n">
        <f aca="false">SUM(C10:G10)</f>
        <v>171452.93915597</v>
      </c>
    </row>
    <row r="11" customFormat="false" ht="15" hidden="false" customHeight="true" outlineLevel="0" collapsed="false">
      <c r="B11" s="10" t="s">
        <v>482</v>
      </c>
      <c r="C11" s="15" t="n">
        <f aca="false">0</f>
        <v>0</v>
      </c>
      <c r="D11" s="15" t="n">
        <f aca="false">0.2*MAX(0,-C10)</f>
        <v>15899.2171581792</v>
      </c>
      <c r="E11" s="15" t="n">
        <f aca="false">0.2*MAX(0,-C10)+0.2*MAX(0,-D10)</f>
        <v>15899.2171581792</v>
      </c>
      <c r="F11" s="15" t="n">
        <f aca="false">0.2*MAX(0,-C10)+0.2*MAX(0,-D10)+0.2*MAX(0,-E10)</f>
        <v>15899.2171581792</v>
      </c>
      <c r="G11" s="15" t="n">
        <f aca="false">0.2*MAX(0,-C10)+0.2*MAX(0,-D10)+0.2*MAX(0,-E10)+0.2*MAX(0,-F10)</f>
        <v>15899.2171581792</v>
      </c>
    </row>
    <row r="12" customFormat="false" ht="15" hidden="false" customHeight="true" outlineLevel="0" collapsed="false">
      <c r="B12" s="10" t="s">
        <v>483</v>
      </c>
      <c r="C12" s="15" t="n">
        <f aca="false">MIN(0.5*MAX(0,C10),C11)</f>
        <v>0</v>
      </c>
      <c r="D12" s="15" t="n">
        <f aca="false">MIN(0.5*MAX(0,D10),D11)</f>
        <v>10877.6924692704</v>
      </c>
      <c r="E12" s="15" t="n">
        <f aca="false">MIN(0.5*MAX(0,E10),E11)</f>
        <v>15899.2171581792</v>
      </c>
      <c r="F12" s="15" t="n">
        <f aca="false">MIN(0.5*MAX(0,F10),F11)</f>
        <v>15899.2171581792</v>
      </c>
      <c r="G12" s="15" t="n">
        <f aca="false">MIN(0.5*MAX(0,G10),G11)</f>
        <v>15899.2171581792</v>
      </c>
    </row>
    <row r="13" customFormat="false" ht="15" hidden="false" customHeight="true" outlineLevel="0" collapsed="false">
      <c r="B13" s="10" t="s">
        <v>484</v>
      </c>
      <c r="C13" s="15" t="n">
        <f aca="false">MAX(0,C10)-C12</f>
        <v>0</v>
      </c>
      <c r="D13" s="15" t="n">
        <f aca="false">MAX(0,D10)-D12</f>
        <v>10877.6924692704</v>
      </c>
      <c r="E13" s="15" t="n">
        <f aca="false">MAX(0,E10)-E12</f>
        <v>64142.2767458748</v>
      </c>
      <c r="F13" s="15" t="n">
        <f aca="false">MAX(0,F10)-F12</f>
        <v>62512.9347838599</v>
      </c>
      <c r="G13" s="15" t="n">
        <f aca="false">MAX(0,G10)-G12</f>
        <v>54840.7770040527</v>
      </c>
      <c r="H13" s="25" t="n">
        <f aca="false">SUM(C13:G13)</f>
        <v>192373.681003058</v>
      </c>
    </row>
    <row r="14" customFormat="false" ht="15" hidden="false" customHeight="true" outlineLevel="0" collapsed="false">
      <c r="B14" s="10" t="s">
        <v>485</v>
      </c>
      <c r="C14" s="15" t="n">
        <f aca="false">MAX(p_isr*C13,IF(C4&gt;1500000,0.011675*C4,0))</f>
        <v>0</v>
      </c>
      <c r="D14" s="15" t="n">
        <f aca="false">MAX(p_isr*D13,IF(D4&gt;1500000,0.011675*D4,0))</f>
        <v>2719.42311731759</v>
      </c>
      <c r="E14" s="15" t="n">
        <f aca="false">MAX(p_isr*E13,IF(E4&gt;1500000,0.011675*E4,0))</f>
        <v>16035.5691864687</v>
      </c>
      <c r="F14" s="15" t="n">
        <f aca="false">MAX(p_isr*F13,IF(F4&gt;1500000,0.011675*F4,0))</f>
        <v>15628.233695965</v>
      </c>
      <c r="G14" s="15" t="n">
        <f aca="false">MAX(p_isr*G13,IF(G4&gt;1500000,0.011675*G4,0))</f>
        <v>13710.1942510132</v>
      </c>
      <c r="H14" s="25" t="n">
        <f aca="false">SUM(C14:G14)</f>
        <v>48093.4202507644</v>
      </c>
    </row>
    <row r="15" customFormat="false" ht="15" hidden="false" customHeight="true" outlineLevel="0" collapsed="false">
      <c r="B15" s="8" t="s">
        <v>486</v>
      </c>
      <c r="C15" s="25" t="n">
        <f aca="false">C10-C14</f>
        <v>-79496.0857908961</v>
      </c>
      <c r="D15" s="25" t="n">
        <f aca="false">D10-D14</f>
        <v>19035.9618212231</v>
      </c>
      <c r="E15" s="25" t="n">
        <f aca="false">E10-E14</f>
        <v>64005.9247175853</v>
      </c>
      <c r="F15" s="25" t="n">
        <f aca="false">F10-F14</f>
        <v>62783.9182460741</v>
      </c>
      <c r="G15" s="25" t="n">
        <f aca="false">G10-G14</f>
        <v>57029.7999112187</v>
      </c>
      <c r="H15" s="25" t="n">
        <f aca="false">SUM(C15:G15)</f>
        <v>123359.518905205</v>
      </c>
    </row>
    <row r="16" customFormat="false" ht="15" hidden="false" customHeight="true" outlineLevel="0" collapsed="false">
      <c r="B16" s="10" t="s">
        <v>487</v>
      </c>
      <c r="C16" s="21" t="n">
        <f aca="false">IF(C4&gt;0,C15/C4,0)</f>
        <v>-12.6135655552084</v>
      </c>
      <c r="D16" s="21" t="n">
        <f aca="false">IF(D4&gt;0,D15/D4,0)</f>
        <v>0.109327980144387</v>
      </c>
      <c r="E16" s="21" t="n">
        <f aca="false">IF(E4&gt;0,E15/E4,0)</f>
        <v>0.241466784912033</v>
      </c>
      <c r="F16" s="21" t="n">
        <f aca="false">IF(F4&gt;0,F15/F4,0)</f>
        <v>0.233225348248519</v>
      </c>
      <c r="G16" s="21" t="n">
        <f aca="false">IF(G4&gt;0,G15/G4,0)</f>
        <v>0.218402420874762</v>
      </c>
    </row>
    <row r="17" customFormat="false" ht="15" hidden="false" customHeight="true" outlineLevel="0" collapsed="false">
      <c r="B17" s="11" t="s">
        <v>488</v>
      </c>
      <c r="C17" s="38" t="n">
        <f aca="false">SUM(Mensual!D40:O40)</f>
        <v>0</v>
      </c>
      <c r="D17" s="38" t="n">
        <f aca="false">SUM(Mensual!P40:AA40)</f>
        <v>989.39317604574</v>
      </c>
      <c r="E17" s="38" t="n">
        <f aca="false">SUM(Mensual!AB40:AM40)</f>
        <v>3553.49211671732</v>
      </c>
      <c r="F17" s="38" t="n">
        <f aca="false">SUM(Mensual!AN40:AY40)</f>
        <v>5119.35939753437</v>
      </c>
      <c r="G17" s="38" t="n">
        <f aca="false">SUM(Mensual!AZ40:BK40)</f>
        <v>5359.14850812535</v>
      </c>
      <c r="H17" s="25" t="n">
        <f aca="false">SUM(C17:G17)</f>
        <v>15021.3931984228</v>
      </c>
    </row>
    <row r="18" customFormat="false" ht="15" hidden="false" customHeight="true" outlineLevel="0" collapsed="false">
      <c r="B18" s="24" t="s">
        <v>489</v>
      </c>
    </row>
    <row r="19" customFormat="false" ht="15" hidden="false" customHeight="true" outlineLevel="0" collapsed="false">
      <c r="B19" s="10" t="s">
        <v>490</v>
      </c>
      <c r="C19" s="15" t="n">
        <f aca="false">f_total*12+c_annual+c_n_reg1*p_postreg</f>
        <v>59162.3</v>
      </c>
    </row>
    <row r="20" customFormat="false" ht="15" hidden="false" customHeight="true" outlineLevel="0" collapsed="false">
      <c r="B20" s="10" t="s">
        <v>491</v>
      </c>
      <c r="C20" s="21" t="n">
        <f aca="false">IF(s_rev_exp&gt;0,s_gp_exp/s_rev_exp,0)</f>
        <v>0.619159597763884</v>
      </c>
    </row>
    <row r="21" customFormat="false" ht="15" hidden="false" customHeight="true" outlineLevel="0" collapsed="false">
      <c r="B21" s="10" t="s">
        <v>492</v>
      </c>
      <c r="C21" s="21" t="n">
        <f aca="false">p_dist+p_penal+p_baddebt+p_expiry*(1-C20)</f>
        <v>0.0614252120670835</v>
      </c>
    </row>
    <row r="22" customFormat="false" ht="15" hidden="false" customHeight="true" outlineLevel="0" collapsed="false">
      <c r="B22" s="8" t="s">
        <v>493</v>
      </c>
      <c r="C22" s="25" t="n">
        <f aca="false">IF(C20-C21&gt;0,C19/(C20-C21),0)</f>
        <v>106076.120671825</v>
      </c>
    </row>
    <row r="23" customFormat="false" ht="15" hidden="false" customHeight="true" outlineLevel="0" collapsed="false">
      <c r="B23" s="10" t="s">
        <v>494</v>
      </c>
      <c r="C23" s="38" t="n">
        <f aca="false">s_rev_exp</f>
        <v>213455.111962838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2"/>
    <col collapsed="false" customWidth="true" hidden="false" outlineLevel="0" max="3" min="3" style="1" width="16"/>
    <col collapsed="false" customWidth="true" hidden="false" outlineLevel="0" max="63" min="4" style="1" width="11"/>
  </cols>
  <sheetData>
    <row r="1" customFormat="false" ht="17.25" hidden="false" customHeight="true" outlineLevel="0" collapsed="false">
      <c r="B1" s="7" t="s">
        <v>495</v>
      </c>
    </row>
    <row r="2" customFormat="false" ht="15" hidden="false" customHeight="true" outlineLevel="0" collapsed="false">
      <c r="B2" s="8" t="str">
        <f aca="false">CONCATENATE("Escenario activo: ",Supuestos!C3,IF(p_sl=1," | tarifas SignatureLex"," | tarifas de mercado"))</f>
        <v>Escenario activo: Base | tarifas de mercado</v>
      </c>
    </row>
    <row r="4" customFormat="false" ht="15" hidden="false" customHeight="true" outlineLevel="0" collapsed="false">
      <c r="B4" s="10" t="s">
        <v>496</v>
      </c>
      <c r="C4" s="38" t="n">
        <f aca="false">SUM(Mensual!D43:BK43)</f>
        <v>255258.809727136</v>
      </c>
    </row>
    <row r="5" customFormat="false" ht="15" hidden="false" customHeight="true" outlineLevel="0" collapsed="false">
      <c r="B5" s="10" t="s">
        <v>497</v>
      </c>
      <c r="C5" s="15" t="n">
        <f aca="false">c_phase0</f>
        <v>2675</v>
      </c>
    </row>
    <row r="6" customFormat="false" ht="15" hidden="false" customHeight="true" outlineLevel="0" collapsed="false">
      <c r="B6" s="10" t="s">
        <v>498</v>
      </c>
      <c r="C6" s="38" t="n">
        <f aca="false">SUM(Mensual!D44:BK44)</f>
        <v>53631.1033148551</v>
      </c>
    </row>
    <row r="7" customFormat="false" ht="15" hidden="false" customHeight="true" outlineLevel="0" collapsed="false">
      <c r="B7" s="10" t="s">
        <v>499</v>
      </c>
      <c r="C7" s="38" t="n">
        <f aca="false">Mensual!BK45</f>
        <v>157695.768299218</v>
      </c>
    </row>
    <row r="8" customFormat="false" ht="15" hidden="false" customHeight="true" outlineLevel="0" collapsed="false">
      <c r="B8" s="10" t="s">
        <v>500</v>
      </c>
      <c r="C8" s="38" t="n">
        <f aca="false">SUMPRODUCT((m_mes&gt;60-c_dso_m)*Mensual!$D$15:$BK$15)*(1-p_baddebt)*(1-p_fact_share)+p_fact_share*Mensual!BK15*(1-p_baddebt)*(1-p_fact_cost*c_dso_m)</f>
        <v>108257.062590364</v>
      </c>
    </row>
    <row r="9" customFormat="false" ht="15" hidden="false" customHeight="true" outlineLevel="0" collapsed="false">
      <c r="B9" s="10" t="s">
        <v>501</v>
      </c>
      <c r="C9" s="38" t="n">
        <f aca="false">Mensual!BK19</f>
        <v>22976.6893275304</v>
      </c>
    </row>
    <row r="10" customFormat="false" ht="15" hidden="false" customHeight="true" outlineLevel="0" collapsed="false">
      <c r="B10" s="10" t="s">
        <v>502</v>
      </c>
      <c r="C10" s="38" t="n">
        <f aca="false">Mensual!BK33</f>
        <v>34746.506152965</v>
      </c>
    </row>
    <row r="11" customFormat="false" ht="15" hidden="false" customHeight="true" outlineLevel="0" collapsed="false">
      <c r="B11" s="10" t="s">
        <v>503</v>
      </c>
      <c r="C11" s="38" t="n">
        <f aca="false">SUMPRODUCT((m_mes&gt;60-MAX(0,c_credit_m-c_ship_m))*Mensual!$D$20:$BK$20)*(1-p_adv)</f>
        <v>0</v>
      </c>
    </row>
    <row r="12" customFormat="false" ht="15" hidden="false" customHeight="true" outlineLevel="0" collapsed="false">
      <c r="B12" s="10" t="s">
        <v>504</v>
      </c>
      <c r="C12" s="15" t="n">
        <f aca="false">C8+C9+C10-C11</f>
        <v>165980.258070859</v>
      </c>
    </row>
    <row r="13" customFormat="false" ht="15" hidden="false" customHeight="true" outlineLevel="0" collapsed="false">
      <c r="B13" s="10" t="s">
        <v>505</v>
      </c>
      <c r="C13" s="38" t="n">
        <f aca="false">Anual!G14+IF(60&lt;=ROUND(p_stop_det,0)+3,MAX(100,p_aviso*MAX(0,C4+SUM(Anual!C15:G15)-C6)),0)</f>
        <v>20209.9387573629</v>
      </c>
    </row>
    <row r="14" customFormat="false" ht="15" hidden="false" customHeight="true" outlineLevel="0" collapsed="false">
      <c r="B14" s="10" t="s">
        <v>506</v>
      </c>
      <c r="C14" s="15" t="n">
        <f aca="false">C7+p_recov*C12-C13</f>
        <v>286868.061805628</v>
      </c>
    </row>
    <row r="15" customFormat="false" ht="15" hidden="false" customHeight="true" outlineLevel="0" collapsed="false">
      <c r="B15" s="10" t="s">
        <v>507</v>
      </c>
      <c r="C15" s="38" t="n">
        <f aca="false">C7-C13+p_gc_mult*MAX(0,Anual!G15)</f>
        <v>308575.229275511</v>
      </c>
    </row>
    <row r="16" customFormat="false" ht="15" hidden="false" customHeight="true" outlineLevel="0" collapsed="false">
      <c r="B16" s="10" t="s">
        <v>508</v>
      </c>
      <c r="C16" s="15" t="n">
        <f aca="false">MAX(C14,C15)</f>
        <v>308575.229275511</v>
      </c>
    </row>
    <row r="17" customFormat="false" ht="15" hidden="false" customHeight="true" outlineLevel="0" collapsed="false">
      <c r="B17" s="10" t="s">
        <v>509</v>
      </c>
      <c r="C17" s="15" t="n">
        <f aca="false">C14-p_divtax*MAX(0,C14-C4)</f>
        <v>283707.136597779</v>
      </c>
    </row>
    <row r="18" customFormat="false" ht="15" hidden="false" customHeight="true" outlineLevel="0" collapsed="false">
      <c r="B18" s="10" t="s">
        <v>510</v>
      </c>
      <c r="C18" s="15" t="n">
        <f aca="false">C16-p_divtax*MAX(0,C16-C4)</f>
        <v>303243.587320674</v>
      </c>
    </row>
    <row r="20" customFormat="false" ht="15" hidden="false" customHeight="true" outlineLevel="0" collapsed="false">
      <c r="C20" s="40" t="n">
        <v>0</v>
      </c>
      <c r="D20" s="40" t="n">
        <v>1</v>
      </c>
      <c r="E20" s="40" t="n">
        <v>2</v>
      </c>
      <c r="F20" s="40" t="n">
        <v>3</v>
      </c>
      <c r="G20" s="40" t="n">
        <v>4</v>
      </c>
      <c r="H20" s="40" t="n">
        <v>5</v>
      </c>
      <c r="I20" s="40" t="n">
        <v>6</v>
      </c>
      <c r="J20" s="40" t="n">
        <v>7</v>
      </c>
      <c r="K20" s="40" t="n">
        <v>8</v>
      </c>
      <c r="L20" s="40" t="n">
        <v>9</v>
      </c>
      <c r="M20" s="40" t="n">
        <v>10</v>
      </c>
      <c r="N20" s="40" t="n">
        <v>11</v>
      </c>
      <c r="O20" s="40" t="n">
        <v>12</v>
      </c>
      <c r="P20" s="40" t="n">
        <v>13</v>
      </c>
      <c r="Q20" s="40" t="n">
        <v>14</v>
      </c>
      <c r="R20" s="40" t="n">
        <v>15</v>
      </c>
      <c r="S20" s="40" t="n">
        <v>16</v>
      </c>
      <c r="T20" s="40" t="n">
        <v>17</v>
      </c>
      <c r="U20" s="40" t="n">
        <v>18</v>
      </c>
      <c r="V20" s="40" t="n">
        <v>19</v>
      </c>
      <c r="W20" s="40" t="n">
        <v>20</v>
      </c>
      <c r="X20" s="40" t="n">
        <v>21</v>
      </c>
      <c r="Y20" s="40" t="n">
        <v>22</v>
      </c>
      <c r="Z20" s="40" t="n">
        <v>23</v>
      </c>
      <c r="AA20" s="40" t="n">
        <v>24</v>
      </c>
      <c r="AB20" s="40" t="n">
        <v>25</v>
      </c>
      <c r="AC20" s="40" t="n">
        <v>26</v>
      </c>
      <c r="AD20" s="40" t="n">
        <v>27</v>
      </c>
      <c r="AE20" s="40" t="n">
        <v>28</v>
      </c>
      <c r="AF20" s="40" t="n">
        <v>29</v>
      </c>
      <c r="AG20" s="40" t="n">
        <v>30</v>
      </c>
      <c r="AH20" s="40" t="n">
        <v>31</v>
      </c>
      <c r="AI20" s="40" t="n">
        <v>32</v>
      </c>
      <c r="AJ20" s="40" t="n">
        <v>33</v>
      </c>
      <c r="AK20" s="40" t="n">
        <v>34</v>
      </c>
      <c r="AL20" s="40" t="n">
        <v>35</v>
      </c>
      <c r="AM20" s="40" t="n">
        <v>36</v>
      </c>
      <c r="AN20" s="40" t="n">
        <v>37</v>
      </c>
      <c r="AO20" s="40" t="n">
        <v>38</v>
      </c>
      <c r="AP20" s="40" t="n">
        <v>39</v>
      </c>
      <c r="AQ20" s="40" t="n">
        <v>40</v>
      </c>
      <c r="AR20" s="40" t="n">
        <v>41</v>
      </c>
      <c r="AS20" s="40" t="n">
        <v>42</v>
      </c>
      <c r="AT20" s="40" t="n">
        <v>43</v>
      </c>
      <c r="AU20" s="40" t="n">
        <v>44</v>
      </c>
      <c r="AV20" s="40" t="n">
        <v>45</v>
      </c>
      <c r="AW20" s="40" t="n">
        <v>46</v>
      </c>
      <c r="AX20" s="40" t="n">
        <v>47</v>
      </c>
      <c r="AY20" s="40" t="n">
        <v>48</v>
      </c>
      <c r="AZ20" s="40" t="n">
        <v>49</v>
      </c>
      <c r="BA20" s="40" t="n">
        <v>50</v>
      </c>
      <c r="BB20" s="40" t="n">
        <v>51</v>
      </c>
      <c r="BC20" s="40" t="n">
        <v>52</v>
      </c>
      <c r="BD20" s="40" t="n">
        <v>53</v>
      </c>
      <c r="BE20" s="40" t="n">
        <v>54</v>
      </c>
      <c r="BF20" s="40" t="n">
        <v>55</v>
      </c>
      <c r="BG20" s="40" t="n">
        <v>56</v>
      </c>
      <c r="BH20" s="40" t="n">
        <v>57</v>
      </c>
      <c r="BI20" s="40" t="n">
        <v>58</v>
      </c>
      <c r="BJ20" s="40" t="n">
        <v>59</v>
      </c>
      <c r="BK20" s="40" t="n">
        <v>60</v>
      </c>
    </row>
    <row r="21" customFormat="false" ht="15" hidden="false" customHeight="true" outlineLevel="0" collapsed="false">
      <c r="B21" s="24" t="s">
        <v>511</v>
      </c>
      <c r="C21" s="38" t="n">
        <f aca="false">Mensual!C46</f>
        <v>-2675</v>
      </c>
      <c r="D21" s="38" t="n">
        <f aca="false">Mensual!D46</f>
        <v>-11485.6</v>
      </c>
      <c r="E21" s="38" t="n">
        <f aca="false">Mensual!E46</f>
        <v>-5417.9</v>
      </c>
      <c r="F21" s="38" t="n">
        <f aca="false">Mensual!F46</f>
        <v>-32046.9</v>
      </c>
      <c r="G21" s="38" t="n">
        <f aca="false">Mensual!G46</f>
        <v>-3310.9</v>
      </c>
      <c r="H21" s="38" t="n">
        <f aca="false">Mensual!H46</f>
        <v>-10455.9</v>
      </c>
      <c r="I21" s="38" t="n">
        <f aca="false">Mensual!I46</f>
        <v>-5424.05982044546</v>
      </c>
      <c r="J21" s="38" t="n">
        <f aca="false">Mensual!J46</f>
        <v>-6535.11815260709</v>
      </c>
      <c r="K21" s="38" t="n">
        <f aca="false">Mensual!K46</f>
        <v>-6260.56101278886</v>
      </c>
      <c r="L21" s="38" t="n">
        <f aca="false">Mensual!L46</f>
        <v>-6553.2152592458</v>
      </c>
      <c r="M21" s="38" t="n">
        <f aca="false">Mensual!M46</f>
        <v>-6845.86950570274</v>
      </c>
      <c r="N21" s="38" t="n">
        <f aca="false">Mensual!N46</f>
        <v>-9355.65299115065</v>
      </c>
      <c r="O21" s="38" t="n">
        <f aca="false">Mensual!O46</f>
        <v>-25274.0678512426</v>
      </c>
      <c r="P21" s="38" t="n">
        <f aca="false">Mensual!P46</f>
        <v>-12123.8089206864</v>
      </c>
      <c r="Q21" s="38" t="n">
        <f aca="false">Mensual!Q46</f>
        <v>-11221.0207766188</v>
      </c>
      <c r="R21" s="38" t="n">
        <f aca="false">Mensual!R46</f>
        <v>-26006.2334099008</v>
      </c>
      <c r="S21" s="38" t="n">
        <f aca="false">Mensual!S46</f>
        <v>-11033.1619987436</v>
      </c>
      <c r="T21" s="38" t="n">
        <f aca="false">Mensual!T46</f>
        <v>-10466.9379426794</v>
      </c>
      <c r="U21" s="38" t="n">
        <f aca="false">Mensual!U46</f>
        <v>-22663.5750752505</v>
      </c>
      <c r="V21" s="38" t="n">
        <f aca="false">Mensual!V46</f>
        <v>-9026.80635655886</v>
      </c>
      <c r="W21" s="38" t="n">
        <f aca="false">Mensual!W46</f>
        <v>0</v>
      </c>
      <c r="X21" s="38" t="n">
        <f aca="false">Mensual!X46</f>
        <v>-318.591132469352</v>
      </c>
      <c r="Y21" s="38" t="n">
        <f aca="false">Mensual!Y46</f>
        <v>0</v>
      </c>
      <c r="Z21" s="38" t="n">
        <f aca="false">Mensual!Z46</f>
        <v>0</v>
      </c>
      <c r="AA21" s="38" t="n">
        <f aca="false">Mensual!AA46</f>
        <v>-6308.8495994482</v>
      </c>
      <c r="AB21" s="38" t="n">
        <f aca="false">Mensual!AB46</f>
        <v>0</v>
      </c>
      <c r="AC21" s="38" t="n">
        <f aca="false">Mensual!AC46</f>
        <v>0</v>
      </c>
      <c r="AD21" s="38" t="n">
        <f aca="false">Mensual!AD46</f>
        <v>-17124.0799215971</v>
      </c>
      <c r="AE21" s="38" t="n">
        <f aca="false">Mensual!AE46</f>
        <v>0</v>
      </c>
      <c r="AF21" s="38" t="n">
        <f aca="false">Mensual!AF46</f>
        <v>0</v>
      </c>
      <c r="AG21" s="38" t="n">
        <f aca="false">Mensual!AG46</f>
        <v>0</v>
      </c>
      <c r="AH21" s="38" t="n">
        <f aca="false">Mensual!AH46</f>
        <v>0</v>
      </c>
      <c r="AI21" s="38" t="n">
        <f aca="false">Mensual!AI46</f>
        <v>0</v>
      </c>
      <c r="AJ21" s="38" t="n">
        <f aca="false">Mensual!AJ46</f>
        <v>0</v>
      </c>
      <c r="AK21" s="38" t="n">
        <f aca="false">Mensual!AK46</f>
        <v>0</v>
      </c>
      <c r="AL21" s="38" t="n">
        <f aca="false">Mensual!AL46</f>
        <v>0</v>
      </c>
      <c r="AM21" s="38" t="n">
        <f aca="false">Mensual!AM46</f>
        <v>2552.97653849687</v>
      </c>
      <c r="AN21" s="38" t="n">
        <f aca="false">Mensual!AN46</f>
        <v>0</v>
      </c>
      <c r="AO21" s="38" t="n">
        <f aca="false">Mensual!AO46</f>
        <v>0</v>
      </c>
      <c r="AP21" s="38" t="n">
        <f aca="false">Mensual!AP46</f>
        <v>0</v>
      </c>
      <c r="AQ21" s="38" t="n">
        <f aca="false">Mensual!AQ46</f>
        <v>0</v>
      </c>
      <c r="AR21" s="38" t="n">
        <f aca="false">Mensual!AR46</f>
        <v>0</v>
      </c>
      <c r="AS21" s="38" t="n">
        <f aca="false">Mensual!AS46</f>
        <v>0</v>
      </c>
      <c r="AT21" s="38" t="n">
        <f aca="false">Mensual!AT46</f>
        <v>0</v>
      </c>
      <c r="AU21" s="38" t="n">
        <f aca="false">Mensual!AU46</f>
        <v>0</v>
      </c>
      <c r="AV21" s="38" t="n">
        <f aca="false">Mensual!AV46</f>
        <v>0</v>
      </c>
      <c r="AW21" s="38" t="n">
        <f aca="false">Mensual!AW46</f>
        <v>0</v>
      </c>
      <c r="AX21" s="38" t="n">
        <f aca="false">Mensual!AX46</f>
        <v>0</v>
      </c>
      <c r="AY21" s="38" t="n">
        <f aca="false">Mensual!AY46</f>
        <v>45715.0164448728</v>
      </c>
      <c r="AZ21" s="38" t="n">
        <f aca="false">Mensual!AZ46</f>
        <v>0</v>
      </c>
      <c r="BA21" s="38" t="n">
        <f aca="false">Mensual!BA46</f>
        <v>0</v>
      </c>
      <c r="BB21" s="38" t="n">
        <f aca="false">Mensual!BB46</f>
        <v>0</v>
      </c>
      <c r="BC21" s="38" t="n">
        <f aca="false">Mensual!BC46</f>
        <v>0</v>
      </c>
      <c r="BD21" s="38" t="n">
        <f aca="false">Mensual!BD46</f>
        <v>0</v>
      </c>
      <c r="BE21" s="38" t="n">
        <f aca="false">Mensual!BE46</f>
        <v>0</v>
      </c>
      <c r="BF21" s="38" t="n">
        <f aca="false">Mensual!BF46</f>
        <v>0</v>
      </c>
      <c r="BG21" s="38" t="n">
        <f aca="false">Mensual!BG46</f>
        <v>0</v>
      </c>
      <c r="BH21" s="38" t="n">
        <f aca="false">Mensual!BH46</f>
        <v>0</v>
      </c>
      <c r="BI21" s="38" t="n">
        <f aca="false">Mensual!BI46</f>
        <v>0</v>
      </c>
      <c r="BJ21" s="38" t="n">
        <f aca="false">Mensual!BJ46</f>
        <v>0</v>
      </c>
      <c r="BK21" s="38" t="n">
        <f aca="false">Mensual!BK46+$C$17</f>
        <v>283707.136597779</v>
      </c>
    </row>
    <row r="22" customFormat="false" ht="15" hidden="false" customHeight="true" outlineLevel="0" collapsed="false">
      <c r="B22" s="24" t="s">
        <v>512</v>
      </c>
      <c r="C22" s="38" t="n">
        <f aca="false">Mensual!C46</f>
        <v>-2675</v>
      </c>
      <c r="D22" s="38" t="n">
        <f aca="false">Mensual!D46</f>
        <v>-11485.6</v>
      </c>
      <c r="E22" s="38" t="n">
        <f aca="false">Mensual!E46</f>
        <v>-5417.9</v>
      </c>
      <c r="F22" s="38" t="n">
        <f aca="false">Mensual!F46</f>
        <v>-32046.9</v>
      </c>
      <c r="G22" s="38" t="n">
        <f aca="false">Mensual!G46</f>
        <v>-3310.9</v>
      </c>
      <c r="H22" s="38" t="n">
        <f aca="false">Mensual!H46</f>
        <v>-10455.9</v>
      </c>
      <c r="I22" s="38" t="n">
        <f aca="false">Mensual!I46</f>
        <v>-5424.05982044546</v>
      </c>
      <c r="J22" s="38" t="n">
        <f aca="false">Mensual!J46</f>
        <v>-6535.11815260709</v>
      </c>
      <c r="K22" s="38" t="n">
        <f aca="false">Mensual!K46</f>
        <v>-6260.56101278886</v>
      </c>
      <c r="L22" s="38" t="n">
        <f aca="false">Mensual!L46</f>
        <v>-6553.2152592458</v>
      </c>
      <c r="M22" s="38" t="n">
        <f aca="false">Mensual!M46</f>
        <v>-6845.86950570274</v>
      </c>
      <c r="N22" s="38" t="n">
        <f aca="false">Mensual!N46</f>
        <v>-9355.65299115065</v>
      </c>
      <c r="O22" s="38" t="n">
        <f aca="false">Mensual!O46</f>
        <v>-25274.0678512426</v>
      </c>
      <c r="P22" s="38" t="n">
        <f aca="false">Mensual!P46</f>
        <v>-12123.8089206864</v>
      </c>
      <c r="Q22" s="38" t="n">
        <f aca="false">Mensual!Q46</f>
        <v>-11221.0207766188</v>
      </c>
      <c r="R22" s="38" t="n">
        <f aca="false">Mensual!R46</f>
        <v>-26006.2334099008</v>
      </c>
      <c r="S22" s="38" t="n">
        <f aca="false">Mensual!S46</f>
        <v>-11033.1619987436</v>
      </c>
      <c r="T22" s="38" t="n">
        <f aca="false">Mensual!T46</f>
        <v>-10466.9379426794</v>
      </c>
      <c r="U22" s="38" t="n">
        <f aca="false">Mensual!U46</f>
        <v>-22663.5750752505</v>
      </c>
      <c r="V22" s="38" t="n">
        <f aca="false">Mensual!V46</f>
        <v>-9026.80635655886</v>
      </c>
      <c r="W22" s="38" t="n">
        <f aca="false">Mensual!W46</f>
        <v>0</v>
      </c>
      <c r="X22" s="38" t="n">
        <f aca="false">Mensual!X46</f>
        <v>-318.591132469352</v>
      </c>
      <c r="Y22" s="38" t="n">
        <f aca="false">Mensual!Y46</f>
        <v>0</v>
      </c>
      <c r="Z22" s="38" t="n">
        <f aca="false">Mensual!Z46</f>
        <v>0</v>
      </c>
      <c r="AA22" s="38" t="n">
        <f aca="false">Mensual!AA46</f>
        <v>-6308.8495994482</v>
      </c>
      <c r="AB22" s="38" t="n">
        <f aca="false">Mensual!AB46</f>
        <v>0</v>
      </c>
      <c r="AC22" s="38" t="n">
        <f aca="false">Mensual!AC46</f>
        <v>0</v>
      </c>
      <c r="AD22" s="38" t="n">
        <f aca="false">Mensual!AD46</f>
        <v>-17124.0799215971</v>
      </c>
      <c r="AE22" s="38" t="n">
        <f aca="false">Mensual!AE46</f>
        <v>0</v>
      </c>
      <c r="AF22" s="38" t="n">
        <f aca="false">Mensual!AF46</f>
        <v>0</v>
      </c>
      <c r="AG22" s="38" t="n">
        <f aca="false">Mensual!AG46</f>
        <v>0</v>
      </c>
      <c r="AH22" s="38" t="n">
        <f aca="false">Mensual!AH46</f>
        <v>0</v>
      </c>
      <c r="AI22" s="38" t="n">
        <f aca="false">Mensual!AI46</f>
        <v>0</v>
      </c>
      <c r="AJ22" s="38" t="n">
        <f aca="false">Mensual!AJ46</f>
        <v>0</v>
      </c>
      <c r="AK22" s="38" t="n">
        <f aca="false">Mensual!AK46</f>
        <v>0</v>
      </c>
      <c r="AL22" s="38" t="n">
        <f aca="false">Mensual!AL46</f>
        <v>0</v>
      </c>
      <c r="AM22" s="38" t="n">
        <f aca="false">Mensual!AM46</f>
        <v>2552.97653849687</v>
      </c>
      <c r="AN22" s="38" t="n">
        <f aca="false">Mensual!AN46</f>
        <v>0</v>
      </c>
      <c r="AO22" s="38" t="n">
        <f aca="false">Mensual!AO46</f>
        <v>0</v>
      </c>
      <c r="AP22" s="38" t="n">
        <f aca="false">Mensual!AP46</f>
        <v>0</v>
      </c>
      <c r="AQ22" s="38" t="n">
        <f aca="false">Mensual!AQ46</f>
        <v>0</v>
      </c>
      <c r="AR22" s="38" t="n">
        <f aca="false">Mensual!AR46</f>
        <v>0</v>
      </c>
      <c r="AS22" s="38" t="n">
        <f aca="false">Mensual!AS46</f>
        <v>0</v>
      </c>
      <c r="AT22" s="38" t="n">
        <f aca="false">Mensual!AT46</f>
        <v>0</v>
      </c>
      <c r="AU22" s="38" t="n">
        <f aca="false">Mensual!AU46</f>
        <v>0</v>
      </c>
      <c r="AV22" s="38" t="n">
        <f aca="false">Mensual!AV46</f>
        <v>0</v>
      </c>
      <c r="AW22" s="38" t="n">
        <f aca="false">Mensual!AW46</f>
        <v>0</v>
      </c>
      <c r="AX22" s="38" t="n">
        <f aca="false">Mensual!AX46</f>
        <v>0</v>
      </c>
      <c r="AY22" s="38" t="n">
        <f aca="false">Mensual!AY46</f>
        <v>45715.0164448728</v>
      </c>
      <c r="AZ22" s="38" t="n">
        <f aca="false">Mensual!AZ46</f>
        <v>0</v>
      </c>
      <c r="BA22" s="38" t="n">
        <f aca="false">Mensual!BA46</f>
        <v>0</v>
      </c>
      <c r="BB22" s="38" t="n">
        <f aca="false">Mensual!BB46</f>
        <v>0</v>
      </c>
      <c r="BC22" s="38" t="n">
        <f aca="false">Mensual!BC46</f>
        <v>0</v>
      </c>
      <c r="BD22" s="38" t="n">
        <f aca="false">Mensual!BD46</f>
        <v>0</v>
      </c>
      <c r="BE22" s="38" t="n">
        <f aca="false">Mensual!BE46</f>
        <v>0</v>
      </c>
      <c r="BF22" s="38" t="n">
        <f aca="false">Mensual!BF46</f>
        <v>0</v>
      </c>
      <c r="BG22" s="38" t="n">
        <f aca="false">Mensual!BG46</f>
        <v>0</v>
      </c>
      <c r="BH22" s="38" t="n">
        <f aca="false">Mensual!BH46</f>
        <v>0</v>
      </c>
      <c r="BI22" s="38" t="n">
        <f aca="false">Mensual!BI46</f>
        <v>0</v>
      </c>
      <c r="BJ22" s="38" t="n">
        <f aca="false">Mensual!BJ46</f>
        <v>0</v>
      </c>
      <c r="BK22" s="38" t="n">
        <f aca="false">Mensual!BK46+$C$18</f>
        <v>303243.587320674</v>
      </c>
    </row>
    <row r="24" customFormat="false" ht="15" hidden="false" customHeight="true" outlineLevel="0" collapsed="false">
      <c r="B24" s="8" t="s">
        <v>513</v>
      </c>
      <c r="C24" s="41" t="n">
        <f aca="false">SUMPRODUCT($C$21:$BK$21,1/(1+0.15)^($C$20:$BK$20/12))</f>
        <v>-56080.8839474073</v>
      </c>
    </row>
    <row r="25" customFormat="false" ht="15" hidden="false" customHeight="true" outlineLevel="0" collapsed="false">
      <c r="B25" s="8" t="s">
        <v>514</v>
      </c>
      <c r="C25" s="41" t="n">
        <f aca="false">SUMPRODUCT($C$21:$BK$21,1/(1+p_disc)^($C$20:$BK$20/12))</f>
        <v>-107028.626069946</v>
      </c>
    </row>
    <row r="26" customFormat="false" ht="15" hidden="false" customHeight="true" outlineLevel="0" collapsed="false">
      <c r="B26" s="8" t="s">
        <v>515</v>
      </c>
      <c r="C26" s="41" t="n">
        <f aca="false">SUMPRODUCT($C$22:$BK$22,1/(1+0.15)^($C$20:$BK$20/12))</f>
        <v>-46367.8151576826</v>
      </c>
    </row>
    <row r="27" customFormat="false" ht="15" hidden="false" customHeight="true" outlineLevel="0" collapsed="false">
      <c r="B27" s="8" t="s">
        <v>516</v>
      </c>
      <c r="C27" s="42" t="n">
        <f aca="false">IFERROR((1+IRR($C$21:$BK$21,0.01))^12-1,IFERROR((1+IRR($C$21:$BK$21,-0.1))^12-1,IFERROR((1+IRR($C$21:$BK$21,-0.19))^12-1,"n.d.")))</f>
        <v>0.0677386536769897</v>
      </c>
    </row>
    <row r="28" customFormat="false" ht="15" hidden="false" customHeight="true" outlineLevel="0" collapsed="false">
      <c r="B28" s="8" t="s">
        <v>517</v>
      </c>
      <c r="C28" s="42" t="n">
        <f aca="false">IFERROR((1+IRR($C$22:$BK$22,0.01))^12-1,IFERROR((1+IRR($C$22:$BK$22,-0.1))^12-1,IFERROR((1+IRR($C$22:$BK$22,-0.19))^12-1,"n.d.")))</f>
        <v>0.08348416658383</v>
      </c>
    </row>
    <row r="29" customFormat="false" ht="15" hidden="false" customHeight="true" outlineLevel="0" collapsed="false">
      <c r="B29" s="8" t="s">
        <v>518</v>
      </c>
      <c r="C29" s="43" t="n">
        <f aca="false">IF(-SUMIF($C$21:$BK$21,"&lt;0")&gt;0,SUMIF($C$21:$BK$21,"&gt;0")/-SUMIF($C$21:$BK$21,"&lt;0"),0)</f>
        <v>1.28705550440378</v>
      </c>
    </row>
    <row r="30" customFormat="false" ht="15" hidden="false" customHeight="true" outlineLevel="0" collapsed="false">
      <c r="B30" s="8" t="s">
        <v>519</v>
      </c>
      <c r="C30" s="41" t="n">
        <f aca="false">-MIN(C34:BK34)</f>
        <v>257933.809727136</v>
      </c>
    </row>
    <row r="31" customFormat="false" ht="15" hidden="false" customHeight="true" outlineLevel="0" collapsed="false">
      <c r="B31" s="8" t="s">
        <v>520</v>
      </c>
      <c r="C31" s="41" t="n">
        <f aca="false">SUM(Mensual!D20:BK20)*s_fob_share*p_zy_markup/(1+p_zy_markup)</f>
        <v>42357.105075502</v>
      </c>
    </row>
    <row r="33" customFormat="false" ht="15" hidden="false" customHeight="true" outlineLevel="0" collapsed="false">
      <c r="B33" s="10" t="s">
        <v>521</v>
      </c>
    </row>
    <row r="34" customFormat="false" ht="15" hidden="false" customHeight="true" outlineLevel="0" collapsed="false">
      <c r="B34" s="10" t="s">
        <v>522</v>
      </c>
      <c r="C34" s="15" t="n">
        <f aca="false">SUM($C$21:C21)-IF(0=60,$C$17,0)</f>
        <v>-2675</v>
      </c>
      <c r="D34" s="15" t="n">
        <f aca="false">SUM($C$21:D21)-IF(1=60,$C$17,0)</f>
        <v>-14160.6</v>
      </c>
      <c r="E34" s="15" t="n">
        <f aca="false">SUM($C$21:E21)-IF(2=60,$C$17,0)</f>
        <v>-19578.5</v>
      </c>
      <c r="F34" s="15" t="n">
        <f aca="false">SUM($C$21:F21)-IF(3=60,$C$17,0)</f>
        <v>-51625.4</v>
      </c>
      <c r="G34" s="15" t="n">
        <f aca="false">SUM($C$21:G21)-IF(4=60,$C$17,0)</f>
        <v>-54936.3</v>
      </c>
      <c r="H34" s="15" t="n">
        <f aca="false">SUM($C$21:H21)-IF(5=60,$C$17,0)</f>
        <v>-65392.2</v>
      </c>
      <c r="I34" s="15" t="n">
        <f aca="false">SUM($C$21:I21)-IF(6=60,$C$17,0)</f>
        <v>-70816.2598204455</v>
      </c>
      <c r="J34" s="15" t="n">
        <f aca="false">SUM($C$21:J21)-IF(7=60,$C$17,0)</f>
        <v>-77351.3779730526</v>
      </c>
      <c r="K34" s="15" t="n">
        <f aca="false">SUM($C$21:K21)-IF(8=60,$C$17,0)</f>
        <v>-83611.9389858414</v>
      </c>
      <c r="L34" s="15" t="n">
        <f aca="false">SUM($C$21:L21)-IF(9=60,$C$17,0)</f>
        <v>-90165.1542450872</v>
      </c>
      <c r="M34" s="15" t="n">
        <f aca="false">SUM($C$21:M21)-IF(10=60,$C$17,0)</f>
        <v>-97011.0237507899</v>
      </c>
      <c r="N34" s="15" t="n">
        <f aca="false">SUM($C$21:N21)-IF(11=60,$C$17,0)</f>
        <v>-106366.676741941</v>
      </c>
      <c r="O34" s="15" t="n">
        <f aca="false">SUM($C$21:O21)-IF(12=60,$C$17,0)</f>
        <v>-131640.744593183</v>
      </c>
      <c r="P34" s="15" t="n">
        <f aca="false">SUM($C$21:P21)-IF(13=60,$C$17,0)</f>
        <v>-143764.55351387</v>
      </c>
      <c r="Q34" s="15" t="n">
        <f aca="false">SUM($C$21:Q21)-IF(14=60,$C$17,0)</f>
        <v>-154985.574290488</v>
      </c>
      <c r="R34" s="15" t="n">
        <f aca="false">SUM($C$21:R21)-IF(15=60,$C$17,0)</f>
        <v>-180991.807700389</v>
      </c>
      <c r="S34" s="15" t="n">
        <f aca="false">SUM($C$21:S21)-IF(16=60,$C$17,0)</f>
        <v>-192024.969699133</v>
      </c>
      <c r="T34" s="15" t="n">
        <f aca="false">SUM($C$21:T21)-IF(17=60,$C$17,0)</f>
        <v>-202491.907641812</v>
      </c>
      <c r="U34" s="15" t="n">
        <f aca="false">SUM($C$21:U21)-IF(18=60,$C$17,0)</f>
        <v>-225155.482717063</v>
      </c>
      <c r="V34" s="15" t="n">
        <f aca="false">SUM($C$21:V21)-IF(19=60,$C$17,0)</f>
        <v>-234182.289073622</v>
      </c>
      <c r="W34" s="15" t="n">
        <f aca="false">SUM($C$21:W21)-IF(20=60,$C$17,0)</f>
        <v>-234182.289073622</v>
      </c>
      <c r="X34" s="15" t="n">
        <f aca="false">SUM($C$21:X21)-IF(21=60,$C$17,0)</f>
        <v>-234500.880206091</v>
      </c>
      <c r="Y34" s="15" t="n">
        <f aca="false">SUM($C$21:Y21)-IF(22=60,$C$17,0)</f>
        <v>-234500.880206091</v>
      </c>
      <c r="Z34" s="15" t="n">
        <f aca="false">SUM($C$21:Z21)-IF(23=60,$C$17,0)</f>
        <v>-234500.880206091</v>
      </c>
      <c r="AA34" s="15" t="n">
        <f aca="false">SUM($C$21:AA21)-IF(24=60,$C$17,0)</f>
        <v>-240809.729805539</v>
      </c>
      <c r="AB34" s="15" t="n">
        <f aca="false">SUM($C$21:AB21)-IF(25=60,$C$17,0)</f>
        <v>-240809.729805539</v>
      </c>
      <c r="AC34" s="15" t="n">
        <f aca="false">SUM($C$21:AC21)-IF(26=60,$C$17,0)</f>
        <v>-240809.729805539</v>
      </c>
      <c r="AD34" s="15" t="n">
        <f aca="false">SUM($C$21:AD21)-IF(27=60,$C$17,0)</f>
        <v>-257933.809727136</v>
      </c>
      <c r="AE34" s="15" t="n">
        <f aca="false">SUM($C$21:AE21)-IF(28=60,$C$17,0)</f>
        <v>-257933.809727136</v>
      </c>
      <c r="AF34" s="15" t="n">
        <f aca="false">SUM($C$21:AF21)-IF(29=60,$C$17,0)</f>
        <v>-257933.809727136</v>
      </c>
      <c r="AG34" s="15" t="n">
        <f aca="false">SUM($C$21:AG21)-IF(30=60,$C$17,0)</f>
        <v>-257933.809727136</v>
      </c>
      <c r="AH34" s="15" t="n">
        <f aca="false">SUM($C$21:AH21)-IF(31=60,$C$17,0)</f>
        <v>-257933.809727136</v>
      </c>
      <c r="AI34" s="15" t="n">
        <f aca="false">SUM($C$21:AI21)-IF(32=60,$C$17,0)</f>
        <v>-257933.809727136</v>
      </c>
      <c r="AJ34" s="15" t="n">
        <f aca="false">SUM($C$21:AJ21)-IF(33=60,$C$17,0)</f>
        <v>-257933.809727136</v>
      </c>
      <c r="AK34" s="15" t="n">
        <f aca="false">SUM($C$21:AK21)-IF(34=60,$C$17,0)</f>
        <v>-257933.809727136</v>
      </c>
      <c r="AL34" s="15" t="n">
        <f aca="false">SUM($C$21:AL21)-IF(35=60,$C$17,0)</f>
        <v>-257933.809727136</v>
      </c>
      <c r="AM34" s="15" t="n">
        <f aca="false">SUM($C$21:AM21)-IF(36=60,$C$17,0)</f>
        <v>-255380.833188639</v>
      </c>
      <c r="AN34" s="15" t="n">
        <f aca="false">SUM($C$21:AN21)-IF(37=60,$C$17,0)</f>
        <v>-255380.833188639</v>
      </c>
      <c r="AO34" s="15" t="n">
        <f aca="false">SUM($C$21:AO21)-IF(38=60,$C$17,0)</f>
        <v>-255380.833188639</v>
      </c>
      <c r="AP34" s="15" t="n">
        <f aca="false">SUM($C$21:AP21)-IF(39=60,$C$17,0)</f>
        <v>-255380.833188639</v>
      </c>
      <c r="AQ34" s="15" t="n">
        <f aca="false">SUM($C$21:AQ21)-IF(40=60,$C$17,0)</f>
        <v>-255380.833188639</v>
      </c>
      <c r="AR34" s="15" t="n">
        <f aca="false">SUM($C$21:AR21)-IF(41=60,$C$17,0)</f>
        <v>-255380.833188639</v>
      </c>
      <c r="AS34" s="15" t="n">
        <f aca="false">SUM($C$21:AS21)-IF(42=60,$C$17,0)</f>
        <v>-255380.833188639</v>
      </c>
      <c r="AT34" s="15" t="n">
        <f aca="false">SUM($C$21:AT21)-IF(43=60,$C$17,0)</f>
        <v>-255380.833188639</v>
      </c>
      <c r="AU34" s="15" t="n">
        <f aca="false">SUM($C$21:AU21)-IF(44=60,$C$17,0)</f>
        <v>-255380.833188639</v>
      </c>
      <c r="AV34" s="15" t="n">
        <f aca="false">SUM($C$21:AV21)-IF(45=60,$C$17,0)</f>
        <v>-255380.833188639</v>
      </c>
      <c r="AW34" s="15" t="n">
        <f aca="false">SUM($C$21:AW21)-IF(46=60,$C$17,0)</f>
        <v>-255380.833188639</v>
      </c>
      <c r="AX34" s="15" t="n">
        <f aca="false">SUM($C$21:AX21)-IF(47=60,$C$17,0)</f>
        <v>-255380.833188639</v>
      </c>
      <c r="AY34" s="15" t="n">
        <f aca="false">SUM($C$21:AY21)-IF(48=60,$C$17,0)</f>
        <v>-209665.816743767</v>
      </c>
      <c r="AZ34" s="15" t="n">
        <f aca="false">SUM($C$21:AZ21)-IF(49=60,$C$17,0)</f>
        <v>-209665.816743767</v>
      </c>
      <c r="BA34" s="15" t="n">
        <f aca="false">SUM($C$21:BA21)-IF(50=60,$C$17,0)</f>
        <v>-209665.816743767</v>
      </c>
      <c r="BB34" s="15" t="n">
        <f aca="false">SUM($C$21:BB21)-IF(51=60,$C$17,0)</f>
        <v>-209665.816743767</v>
      </c>
      <c r="BC34" s="15" t="n">
        <f aca="false">SUM($C$21:BC21)-IF(52=60,$C$17,0)</f>
        <v>-209665.816743767</v>
      </c>
      <c r="BD34" s="15" t="n">
        <f aca="false">SUM($C$21:BD21)-IF(53=60,$C$17,0)</f>
        <v>-209665.816743767</v>
      </c>
      <c r="BE34" s="15" t="n">
        <f aca="false">SUM($C$21:BE21)-IF(54=60,$C$17,0)</f>
        <v>-209665.816743767</v>
      </c>
      <c r="BF34" s="15" t="n">
        <f aca="false">SUM($C$21:BF21)-IF(55=60,$C$17,0)</f>
        <v>-209665.816743767</v>
      </c>
      <c r="BG34" s="15" t="n">
        <f aca="false">SUM($C$21:BG21)-IF(56=60,$C$17,0)</f>
        <v>-209665.816743767</v>
      </c>
      <c r="BH34" s="15" t="n">
        <f aca="false">SUM($C$21:BH21)-IF(57=60,$C$17,0)</f>
        <v>-209665.816743767</v>
      </c>
      <c r="BI34" s="15" t="n">
        <f aca="false">SUM($C$21:BI21)-IF(58=60,$C$17,0)</f>
        <v>-209665.816743767</v>
      </c>
      <c r="BJ34" s="15" t="n">
        <f aca="false">SUM($C$21:BJ21)-IF(59=60,$C$17,0)</f>
        <v>-209665.816743767</v>
      </c>
      <c r="BK34" s="15" t="n">
        <f aca="false">SUM($C$21:BK21)-IF(60=60,$C$17,0)</f>
        <v>-209665.816743767</v>
      </c>
    </row>
    <row r="36" customFormat="false" ht="15" hidden="false" customHeight="true" outlineLevel="0" collapsed="false">
      <c r="B36" s="24" t="s">
        <v>523</v>
      </c>
    </row>
    <row r="37" customFormat="false" ht="15" hidden="false" customHeight="true" outlineLevel="0" collapsed="false">
      <c r="B37" s="10" t="s">
        <v>524</v>
      </c>
      <c r="C37" s="21" t="n">
        <f aca="false">(1-p_patel_eq)*p_jaime_frac</f>
        <v>0.166666666666667</v>
      </c>
    </row>
    <row r="38" customFormat="false" ht="15" hidden="false" customHeight="true" outlineLevel="0" collapsed="false">
      <c r="B38" s="10" t="s">
        <v>525</v>
      </c>
      <c r="C38" s="21" t="n">
        <f aca="false">(1-p_patel_cash)*p_jaime_frac</f>
        <v>0.166666666666667</v>
      </c>
    </row>
    <row r="39" customFormat="false" ht="15" hidden="false" customHeight="true" outlineLevel="0" collapsed="false">
      <c r="B39" s="8" t="s">
        <v>526</v>
      </c>
      <c r="C39" s="25" t="n">
        <f aca="false">C4*C38+C5*p_jaime_frac</f>
        <v>43434.8016211893</v>
      </c>
    </row>
    <row r="40" customFormat="false" ht="15" hidden="false" customHeight="true" outlineLevel="0" collapsed="false">
      <c r="B40" s="8" t="s">
        <v>527</v>
      </c>
      <c r="C40" s="25" t="n">
        <f aca="false">(C6*(1-p_divtax)+C17)*C37</f>
        <v>55329.1882635247</v>
      </c>
    </row>
    <row r="41" customFormat="false" ht="15" hidden="false" customHeight="true" outlineLevel="0" collapsed="false">
      <c r="B41" s="8" t="s">
        <v>528</v>
      </c>
      <c r="C41" s="44" t="n">
        <f aca="false">C40-C39</f>
        <v>11894.3866423354</v>
      </c>
    </row>
    <row r="42" customFormat="false" ht="15" hidden="false" customHeight="true" outlineLevel="0" collapsed="false">
      <c r="B42" s="10" t="s">
        <v>529</v>
      </c>
      <c r="C42" s="21" t="n">
        <f aca="false">C39/'Capital por socio'!C17</f>
        <v>0.723913360353155</v>
      </c>
    </row>
    <row r="44" customFormat="false" ht="15" hidden="false" customHeight="true" outlineLevel="0" collapsed="false">
      <c r="B44" s="24" t="s">
        <v>530</v>
      </c>
    </row>
    <row r="45" customFormat="false" ht="15" hidden="false" customHeight="true" outlineLevel="0" collapsed="false">
      <c r="B45" s="10" t="s">
        <v>531</v>
      </c>
      <c r="C45" s="15" t="n">
        <f aca="false">SUM($C$21:$BK$21)</f>
        <v>74041.3198540123</v>
      </c>
    </row>
    <row r="46" customFormat="false" ht="15" hidden="false" customHeight="true" outlineLevel="0" collapsed="false">
      <c r="B46" s="10" t="s">
        <v>532</v>
      </c>
      <c r="C46" s="15" t="n">
        <f aca="false">C31+p_patel_eq*SUMIF(Valoración!$D$21:$BK$21,"&gt;0")-p_patel_cash*C4</f>
        <v>80715.2650025081</v>
      </c>
    </row>
    <row r="47" customFormat="false" ht="15" hidden="false" customHeight="true" outlineLevel="0" collapsed="false">
      <c r="B47" s="10" t="s">
        <v>533</v>
      </c>
      <c r="C47" s="15" t="n">
        <f aca="false">(1-p_patel_eq)*SUMIF(Valoración!$D$21:$BK$21,"&gt;0")-(1-p_patel_cash)*C4-C5</f>
        <v>35683.1599270061</v>
      </c>
    </row>
    <row r="48" customFormat="false" ht="15" hidden="false" customHeight="true" outlineLevel="0" collapsed="false">
      <c r="B48" s="8" t="s">
        <v>534</v>
      </c>
      <c r="C48" s="30" t="n">
        <f aca="false">IF(C46+C47&lt;&gt;0,C46/(C46+C47),0)</f>
        <v>0.693439495005072</v>
      </c>
    </row>
    <row r="49" customFormat="false" ht="15" hidden="false" customHeight="true" outlineLevel="0" collapsed="false">
      <c r="B49" s="11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2"/>
    <col collapsed="false" customWidth="true" hidden="false" outlineLevel="0" max="5" min="3" style="1" width="14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17.25" hidden="false" customHeight="true" outlineLevel="0" collapsed="false">
      <c r="B1" s="7" t="s">
        <v>536</v>
      </c>
    </row>
    <row r="2" customFormat="false" ht="15" hidden="false" customHeight="true" outlineLevel="0" collapsed="false">
      <c r="B2" s="11" t="s">
        <v>537</v>
      </c>
    </row>
    <row r="4" customFormat="false" ht="15" hidden="false" customHeight="true" outlineLevel="0" collapsed="false">
      <c r="B4" s="12" t="s">
        <v>538</v>
      </c>
      <c r="C4" s="12" t="s">
        <v>33</v>
      </c>
      <c r="D4" s="12" t="s">
        <v>34</v>
      </c>
      <c r="E4" s="12" t="s">
        <v>35</v>
      </c>
    </row>
    <row r="5" customFormat="false" ht="15" hidden="false" customHeight="true" outlineLevel="0" collapsed="false">
      <c r="B5" s="10" t="s">
        <v>539</v>
      </c>
      <c r="C5" s="15" t="n">
        <v>0</v>
      </c>
      <c r="D5" s="15" t="n">
        <v>6302</v>
      </c>
      <c r="E5" s="15" t="n">
        <v>64787</v>
      </c>
    </row>
    <row r="6" customFormat="false" ht="15" hidden="false" customHeight="true" outlineLevel="0" collapsed="false">
      <c r="B6" s="10" t="s">
        <v>540</v>
      </c>
      <c r="C6" s="15" t="n">
        <v>1278</v>
      </c>
      <c r="D6" s="15" t="n">
        <v>174118</v>
      </c>
      <c r="E6" s="15" t="n">
        <v>900979</v>
      </c>
    </row>
    <row r="7" customFormat="false" ht="15" hidden="false" customHeight="true" outlineLevel="0" collapsed="false">
      <c r="B7" s="10" t="s">
        <v>541</v>
      </c>
      <c r="C7" s="15" t="n">
        <v>13740</v>
      </c>
      <c r="D7" s="15" t="n">
        <v>265071</v>
      </c>
      <c r="E7" s="15" t="n">
        <v>1373865</v>
      </c>
    </row>
    <row r="8" customFormat="false" ht="15" hidden="false" customHeight="true" outlineLevel="0" collapsed="false">
      <c r="B8" s="10" t="s">
        <v>542</v>
      </c>
      <c r="C8" s="15" t="n">
        <v>14226</v>
      </c>
      <c r="D8" s="15" t="n">
        <v>261123</v>
      </c>
      <c r="E8" s="15" t="n">
        <v>1384352</v>
      </c>
    </row>
    <row r="9" customFormat="false" ht="15" hidden="false" customHeight="true" outlineLevel="0" collapsed="false">
      <c r="B9" s="10" t="s">
        <v>543</v>
      </c>
      <c r="C9" s="15" t="n">
        <v>-142950</v>
      </c>
      <c r="D9" s="15" t="n">
        <v>-79496</v>
      </c>
      <c r="E9" s="15" t="n">
        <v>-11073</v>
      </c>
    </row>
    <row r="10" customFormat="false" ht="15" hidden="false" customHeight="true" outlineLevel="0" collapsed="false">
      <c r="B10" s="10" t="s">
        <v>544</v>
      </c>
      <c r="C10" s="15" t="n">
        <v>-99119</v>
      </c>
      <c r="D10" s="15" t="n">
        <v>64006</v>
      </c>
      <c r="E10" s="15" t="n">
        <v>590215</v>
      </c>
    </row>
    <row r="11" customFormat="false" ht="15" hidden="false" customHeight="true" outlineLevel="0" collapsed="false">
      <c r="B11" s="10" t="s">
        <v>545</v>
      </c>
      <c r="C11" s="15" t="n">
        <v>-99621</v>
      </c>
      <c r="D11" s="15" t="n">
        <v>57030</v>
      </c>
      <c r="E11" s="15" t="n">
        <v>595416</v>
      </c>
    </row>
    <row r="12" customFormat="false" ht="15" hidden="false" customHeight="true" outlineLevel="0" collapsed="false">
      <c r="B12" s="10" t="s">
        <v>546</v>
      </c>
      <c r="C12" s="15" t="n">
        <v>592688</v>
      </c>
      <c r="D12" s="15" t="n">
        <v>255259</v>
      </c>
      <c r="E12" s="15" t="n">
        <v>183263</v>
      </c>
    </row>
    <row r="13" customFormat="false" ht="15" hidden="false" customHeight="true" outlineLevel="0" collapsed="false">
      <c r="B13" s="10" t="s">
        <v>547</v>
      </c>
      <c r="C13" s="15" t="n">
        <v>591371</v>
      </c>
      <c r="D13" s="15" t="n">
        <v>257934</v>
      </c>
      <c r="E13" s="15" t="n">
        <v>184263</v>
      </c>
    </row>
    <row r="14" customFormat="false" ht="15" hidden="false" customHeight="true" outlineLevel="0" collapsed="false">
      <c r="B14" s="10" t="s">
        <v>548</v>
      </c>
      <c r="C14" s="15" t="n">
        <v>-429943</v>
      </c>
      <c r="D14" s="15" t="n">
        <v>-56081</v>
      </c>
      <c r="E14" s="15" t="n">
        <v>950535</v>
      </c>
    </row>
    <row r="15" customFormat="false" ht="15" hidden="false" customHeight="true" outlineLevel="0" collapsed="false">
      <c r="B15" s="10" t="s">
        <v>549</v>
      </c>
      <c r="C15" s="15" t="n">
        <v>-350888</v>
      </c>
      <c r="D15" s="15" t="n">
        <v>-107029</v>
      </c>
      <c r="E15" s="15" t="n">
        <v>521065</v>
      </c>
    </row>
    <row r="16" customFormat="false" ht="15" hidden="false" customHeight="true" outlineLevel="0" collapsed="false">
      <c r="B16" s="10" t="s">
        <v>550</v>
      </c>
      <c r="C16" s="15" t="n">
        <v>-429943</v>
      </c>
      <c r="D16" s="15" t="n">
        <v>-46368</v>
      </c>
      <c r="E16" s="15" t="n">
        <v>1798446</v>
      </c>
    </row>
    <row r="17" customFormat="false" ht="15" hidden="false" customHeight="true" outlineLevel="0" collapsed="false">
      <c r="B17" s="10" t="s">
        <v>551</v>
      </c>
      <c r="C17" s="21" t="n">
        <v>-0.928806851763524</v>
      </c>
      <c r="D17" s="21" t="n">
        <v>0.0677386536771367</v>
      </c>
      <c r="E17" s="21" t="n">
        <v>1.11035330236436</v>
      </c>
    </row>
    <row r="18" customFormat="false" ht="15" hidden="false" customHeight="true" outlineLevel="0" collapsed="false">
      <c r="B18" s="10" t="s">
        <v>552</v>
      </c>
      <c r="C18" s="21" t="n">
        <v>-0.928806851763524</v>
      </c>
      <c r="D18" s="21" t="n">
        <v>0.0834841665838328</v>
      </c>
      <c r="E18" s="21" t="n">
        <v>1.34091687555157</v>
      </c>
    </row>
    <row r="19" customFormat="false" ht="15" hidden="false" customHeight="true" outlineLevel="0" collapsed="false">
      <c r="B19" s="10" t="s">
        <v>553</v>
      </c>
      <c r="C19" s="45" t="n">
        <v>0.0529615768889381</v>
      </c>
      <c r="D19" s="45" t="n">
        <v>1.28705550440378</v>
      </c>
      <c r="E19" s="45" t="n">
        <v>10.9717936393381</v>
      </c>
    </row>
    <row r="20" customFormat="false" ht="15" hidden="false" customHeight="true" outlineLevel="0" collapsed="false">
      <c r="B20" s="10" t="s">
        <v>554</v>
      </c>
      <c r="C20" s="15" t="n">
        <v>0</v>
      </c>
      <c r="D20" s="15" t="n">
        <v>53631</v>
      </c>
      <c r="E20" s="15" t="n">
        <v>1028991</v>
      </c>
    </row>
    <row r="21" customFormat="false" ht="15" hidden="false" customHeight="true" outlineLevel="0" collapsed="false">
      <c r="B21" s="10" t="s">
        <v>555</v>
      </c>
      <c r="C21" s="15" t="n">
        <v>3074</v>
      </c>
      <c r="D21" s="15" t="n">
        <v>42357</v>
      </c>
      <c r="E21" s="15" t="n">
        <v>63447</v>
      </c>
    </row>
    <row r="24" customFormat="false" ht="15" hidden="false" customHeight="true" outlineLevel="0" collapsed="false">
      <c r="B24" s="24" t="s">
        <v>556</v>
      </c>
    </row>
    <row r="25" customFormat="false" ht="23.25" hidden="false" customHeight="true" outlineLevel="0" collapsed="false">
      <c r="B25" s="12" t="s">
        <v>557</v>
      </c>
      <c r="C25" s="12" t="s">
        <v>558</v>
      </c>
      <c r="D25" s="12" t="s">
        <v>559</v>
      </c>
      <c r="E25" s="12" t="s">
        <v>560</v>
      </c>
      <c r="F25" s="12" t="s">
        <v>561</v>
      </c>
      <c r="G25" s="12" t="s">
        <v>541</v>
      </c>
    </row>
    <row r="26" customFormat="false" ht="15" hidden="false" customHeight="true" outlineLevel="0" collapsed="false">
      <c r="B26" s="10" t="s">
        <v>34</v>
      </c>
      <c r="C26" s="15" t="n">
        <v>255258.809727136</v>
      </c>
      <c r="D26" s="15" t="n">
        <v>-56080.8839474081</v>
      </c>
      <c r="E26" s="21" t="n">
        <v>0.0677386536771367</v>
      </c>
      <c r="F26" s="45" t="n">
        <v>1.28705550440378</v>
      </c>
      <c r="G26" s="15" t="n">
        <v>265071.341969054</v>
      </c>
    </row>
    <row r="27" customFormat="false" ht="15" hidden="false" customHeight="true" outlineLevel="0" collapsed="false">
      <c r="B27" s="10" t="s">
        <v>562</v>
      </c>
      <c r="C27" s="15" t="n">
        <v>214616.596983324</v>
      </c>
      <c r="D27" s="15" t="n">
        <v>-39630.5583906874</v>
      </c>
      <c r="E27" s="21" t="n">
        <v>0.0831921118688968</v>
      </c>
      <c r="F27" s="45" t="n">
        <v>1.3633793335636</v>
      </c>
      <c r="G27" s="15" t="n">
        <v>265071.341969054</v>
      </c>
    </row>
    <row r="28" customFormat="false" ht="15" hidden="false" customHeight="true" outlineLevel="0" collapsed="false">
      <c r="B28" s="10" t="s">
        <v>563</v>
      </c>
      <c r="C28" s="15" t="n">
        <v>300217.408348658</v>
      </c>
      <c r="D28" s="15" t="n">
        <v>-43277.1992884963</v>
      </c>
      <c r="E28" s="21" t="n">
        <v>0.0945114556086237</v>
      </c>
      <c r="F28" s="45" t="n">
        <v>1.39179342397371</v>
      </c>
      <c r="G28" s="15" t="n">
        <v>319908.116726864</v>
      </c>
    </row>
    <row r="29" customFormat="false" ht="15" hidden="false" customHeight="true" outlineLevel="0" collapsed="false">
      <c r="B29" s="10" t="s">
        <v>564</v>
      </c>
      <c r="C29" s="15" t="n">
        <v>210332.723363715</v>
      </c>
      <c r="D29" s="15" t="n">
        <v>4199.77488116076</v>
      </c>
      <c r="E29" s="21" t="n">
        <v>0.15703342696784</v>
      </c>
      <c r="F29" s="45" t="n">
        <v>1.70502130939766</v>
      </c>
      <c r="G29" s="15" t="n">
        <v>265071.341969054</v>
      </c>
    </row>
    <row r="30" customFormat="false" ht="15" hidden="false" customHeight="true" outlineLevel="0" collapsed="false">
      <c r="B30" s="10" t="s">
        <v>565</v>
      </c>
      <c r="C30" s="15" t="n">
        <v>237747.432615707</v>
      </c>
      <c r="D30" s="15" t="n">
        <v>-49254.8783594191</v>
      </c>
      <c r="E30" s="21" t="n">
        <v>0.074258056149886</v>
      </c>
      <c r="F30" s="45" t="n">
        <v>1.32128693153226</v>
      </c>
      <c r="G30" s="15" t="n">
        <v>265071.341969054</v>
      </c>
    </row>
    <row r="31" customFormat="false" ht="15" hidden="false" customHeight="true" outlineLevel="0" collapsed="false">
      <c r="B31" s="10" t="s">
        <v>566</v>
      </c>
      <c r="C31" s="15" t="n">
        <v>273951.278629566</v>
      </c>
      <c r="D31" s="15" t="n">
        <v>-9010.14111955068</v>
      </c>
      <c r="E31" s="21" t="n">
        <v>0.138461251989621</v>
      </c>
      <c r="F31" s="45" t="n">
        <v>1.62339175424855</v>
      </c>
      <c r="G31" s="15" t="n">
        <v>330462.34135711</v>
      </c>
    </row>
    <row r="32" customFormat="false" ht="15" hidden="false" customHeight="true" outlineLevel="0" collapsed="false">
      <c r="B32" s="10" t="s">
        <v>567</v>
      </c>
      <c r="C32" s="15" t="n">
        <v>347411.653008284</v>
      </c>
      <c r="D32" s="15" t="n">
        <v>-28837.6481179924</v>
      </c>
      <c r="E32" s="21" t="n">
        <v>0.1173117463849</v>
      </c>
      <c r="F32" s="45" t="n">
        <v>1.48156715363858</v>
      </c>
      <c r="G32" s="15" t="n">
        <v>384358.278055033</v>
      </c>
    </row>
    <row r="33" customFormat="false" ht="15" hidden="false" customHeight="true" outlineLevel="0" collapsed="false">
      <c r="B33" s="10" t="s">
        <v>568</v>
      </c>
      <c r="C33" s="15" t="n">
        <v>234012.882919049</v>
      </c>
      <c r="D33" s="15" t="n">
        <v>-2670.06078372282</v>
      </c>
      <c r="E33" s="21" t="n">
        <v>0.145828638533285</v>
      </c>
      <c r="F33" s="45" t="n">
        <v>1.63327969581103</v>
      </c>
      <c r="G33" s="15" t="n">
        <v>319908.116726864</v>
      </c>
    </row>
    <row r="34" customFormat="false" ht="15" hidden="false" customHeight="true" outlineLevel="0" collapsed="false">
      <c r="B34" s="10" t="s">
        <v>569</v>
      </c>
      <c r="C34" s="15" t="n">
        <v>240612.742404147</v>
      </c>
      <c r="D34" s="15" t="n">
        <v>50024.455494509</v>
      </c>
      <c r="E34" s="21" t="n">
        <v>0.219009068250048</v>
      </c>
      <c r="F34" s="45" t="n">
        <v>2.04317114496156</v>
      </c>
      <c r="G34" s="15" t="n">
        <v>379951.25727631</v>
      </c>
    </row>
    <row r="35" customFormat="false" ht="15" hidden="false" customHeight="true" outlineLevel="0" collapsed="false">
      <c r="B35" s="10" t="s">
        <v>570</v>
      </c>
      <c r="C35" s="15" t="n">
        <v>315395.998868712</v>
      </c>
      <c r="D35" s="15" t="n">
        <v>88602.1714987132</v>
      </c>
      <c r="E35" s="21" t="n">
        <v>0.249698202942949</v>
      </c>
      <c r="F35" s="45" t="n">
        <v>2.13225418279837</v>
      </c>
      <c r="G35" s="15" t="n">
        <v>502589.417399673</v>
      </c>
    </row>
    <row r="36" customFormat="false" ht="15" hidden="false" customHeight="true" outlineLevel="0" collapsed="false">
      <c r="B36" s="10" t="s">
        <v>571</v>
      </c>
      <c r="C36" s="15" t="n">
        <v>294342.262227136</v>
      </c>
      <c r="D36" s="15" t="n">
        <v>-91651.3411594994</v>
      </c>
      <c r="E36" s="21" t="n">
        <v>0.0333837785668028</v>
      </c>
      <c r="F36" s="45" t="n">
        <v>1.14075983053121</v>
      </c>
      <c r="G36" s="15" t="n">
        <v>265071.341969054</v>
      </c>
    </row>
    <row r="37" customFormat="false" ht="15" hidden="false" customHeight="true" outlineLevel="0" collapsed="false">
      <c r="B37" s="10" t="s">
        <v>572</v>
      </c>
      <c r="C37" s="15" t="n">
        <v>170473.927220525</v>
      </c>
      <c r="D37" s="15" t="n">
        <v>97936.6884991024</v>
      </c>
      <c r="E37" s="21" t="n">
        <v>0.326337787567723</v>
      </c>
      <c r="F37" s="45" t="n">
        <v>2.69532066045464</v>
      </c>
      <c r="G37" s="15" t="n">
        <v>379951.25727631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9" min="3" style="1" width="15"/>
  </cols>
  <sheetData>
    <row r="1" customFormat="false" ht="17.25" hidden="false" customHeight="true" outlineLevel="0" collapsed="false">
      <c r="B1" s="7" t="s">
        <v>573</v>
      </c>
    </row>
    <row r="2" customFormat="false" ht="15" hidden="false" customHeight="true" outlineLevel="0" collapsed="false">
      <c r="B2" s="11" t="s">
        <v>574</v>
      </c>
    </row>
    <row r="4" customFormat="false" ht="34.5" hidden="false" customHeight="true" outlineLevel="0" collapsed="false">
      <c r="B4" s="12" t="s">
        <v>575</v>
      </c>
      <c r="C4" s="12" t="s">
        <v>576</v>
      </c>
      <c r="D4" s="12" t="s">
        <v>577</v>
      </c>
      <c r="E4" s="12" t="s">
        <v>578</v>
      </c>
      <c r="F4" s="12" t="s">
        <v>579</v>
      </c>
      <c r="G4" s="12" t="s">
        <v>580</v>
      </c>
      <c r="H4" s="12" t="s">
        <v>581</v>
      </c>
      <c r="I4" s="12" t="s">
        <v>582</v>
      </c>
    </row>
    <row r="5" customFormat="false" ht="15" hidden="false" customHeight="true" outlineLevel="0" collapsed="false">
      <c r="B5" s="13" t="s">
        <v>583</v>
      </c>
      <c r="C5" s="15" t="n">
        <v>-157705.464828709</v>
      </c>
      <c r="D5" s="21" t="n">
        <v>0.774</v>
      </c>
      <c r="E5" s="21" t="n">
        <v>0.7691</v>
      </c>
      <c r="F5" s="45" t="n">
        <v>0.62044060672777</v>
      </c>
      <c r="G5" s="45" t="n">
        <v>1.27796149940177</v>
      </c>
      <c r="H5" s="15" t="n">
        <v>342691.518266835</v>
      </c>
      <c r="I5" s="15" t="n">
        <v>486499.395816744</v>
      </c>
    </row>
    <row r="6" customFormat="false" ht="15" hidden="false" customHeight="true" outlineLevel="0" collapsed="false">
      <c r="B6" s="13" t="s">
        <v>584</v>
      </c>
      <c r="C6" s="15" t="n">
        <v>-113639.30604383</v>
      </c>
      <c r="D6" s="21" t="n">
        <v>0.80605</v>
      </c>
      <c r="E6" s="21" t="n">
        <v>0.59495</v>
      </c>
      <c r="F6" s="45" t="n">
        <v>0.423594249245396</v>
      </c>
      <c r="G6" s="45" t="n">
        <v>1.24079061974544</v>
      </c>
      <c r="H6" s="15" t="n">
        <v>323190.636013004</v>
      </c>
      <c r="I6" s="15" t="n">
        <v>485879.990703384</v>
      </c>
    </row>
    <row r="7" customFormat="false" ht="15" hidden="false" customHeight="true" outlineLevel="0" collapsed="false">
      <c r="B7" s="13" t="s">
        <v>585</v>
      </c>
      <c r="C7" s="15" t="n">
        <v>-108804.934863509</v>
      </c>
      <c r="D7" s="21" t="n">
        <v>0.71485</v>
      </c>
      <c r="E7" s="21" t="n">
        <v>0.58575</v>
      </c>
      <c r="F7" s="45" t="n">
        <v>0.641793914502232</v>
      </c>
      <c r="G7" s="45" t="n">
        <v>1.4326720651848</v>
      </c>
      <c r="H7" s="15" t="n">
        <v>314543.408992596</v>
      </c>
      <c r="I7" s="15" t="n">
        <v>462634.413096419</v>
      </c>
    </row>
    <row r="8" customFormat="false" ht="15" hidden="false" customHeight="true" outlineLevel="0" collapsed="false">
      <c r="B8" s="13" t="s">
        <v>566</v>
      </c>
      <c r="C8" s="15" t="n">
        <v>-81830.3218645599</v>
      </c>
      <c r="D8" s="21" t="n">
        <v>0.50895</v>
      </c>
      <c r="E8" s="21" t="n">
        <v>0.37855</v>
      </c>
      <c r="F8" s="45" t="n">
        <v>0.987890441617578</v>
      </c>
      <c r="G8" s="45" t="n">
        <v>1.71753465186183</v>
      </c>
      <c r="H8" s="15" t="n">
        <v>326636.871553928</v>
      </c>
      <c r="I8" s="15" t="n">
        <v>454663.263277817</v>
      </c>
    </row>
    <row r="9" customFormat="false" ht="15" hidden="false" customHeight="true" outlineLevel="0" collapsed="false">
      <c r="B9" s="13" t="s">
        <v>586</v>
      </c>
      <c r="C9" s="15" t="n">
        <v>-31514.9334375119</v>
      </c>
      <c r="D9" s="21" t="n">
        <v>0.4147</v>
      </c>
      <c r="E9" s="21" t="n">
        <v>0.285</v>
      </c>
      <c r="F9" s="45" t="n">
        <v>1.17792949707327</v>
      </c>
      <c r="G9" s="45" t="n">
        <v>2.13243537594615</v>
      </c>
      <c r="H9" s="15" t="n">
        <v>247001.897516324</v>
      </c>
      <c r="I9" s="15" t="n">
        <v>359158.012288117</v>
      </c>
    </row>
    <row r="10" customFormat="false" ht="15" hidden="false" customHeight="true" outlineLevel="0" collapsed="false">
      <c r="B10" s="13" t="s">
        <v>587</v>
      </c>
      <c r="C10" s="15" t="n">
        <v>18115.294405147</v>
      </c>
      <c r="D10" s="21" t="n">
        <v>0.3094</v>
      </c>
      <c r="E10" s="21" t="n">
        <v>0.18365</v>
      </c>
      <c r="F10" s="45" t="n">
        <v>1.61769467326844</v>
      </c>
      <c r="G10" s="45" t="n">
        <v>2.80212783860615</v>
      </c>
      <c r="H10" s="15" t="n">
        <v>191912.084292742</v>
      </c>
      <c r="I10" s="15" t="n">
        <v>301711.212629633</v>
      </c>
    </row>
    <row r="11" customFormat="false" ht="15" hidden="false" customHeight="true" outlineLevel="0" collapsed="false">
      <c r="B11" s="13" t="s">
        <v>588</v>
      </c>
      <c r="C11" s="15" t="n">
        <v>-24885.0934663916</v>
      </c>
      <c r="D11" s="21" t="n">
        <v>0.7005</v>
      </c>
      <c r="E11" s="21" t="n">
        <v>0.4874</v>
      </c>
      <c r="F11" s="45" t="n">
        <v>0.5476110587376</v>
      </c>
      <c r="G11" s="45" t="n">
        <v>1.70007469627253</v>
      </c>
      <c r="H11" s="15" t="n">
        <v>82085.5480867411</v>
      </c>
      <c r="I11" s="15" t="n">
        <v>97382.5032177379</v>
      </c>
    </row>
    <row r="12" customFormat="false" ht="15" hidden="false" customHeight="true" outlineLevel="0" collapsed="false">
      <c r="B12" s="46" t="s">
        <v>589</v>
      </c>
      <c r="C12" s="46"/>
      <c r="D12" s="46"/>
      <c r="E12" s="46"/>
      <c r="F12" s="46"/>
      <c r="G12" s="46"/>
      <c r="H12" s="46"/>
      <c r="I12" s="46"/>
    </row>
    <row r="13" customFormat="false" ht="15" hidden="false" customHeight="true" outlineLevel="0" collapsed="false">
      <c r="B13" s="24" t="s">
        <v>590</v>
      </c>
    </row>
    <row r="14" customFormat="false" ht="15" hidden="false" customHeight="true" outlineLevel="0" collapsed="false">
      <c r="B14" s="12" t="s">
        <v>575</v>
      </c>
      <c r="C14" s="12" t="s">
        <v>591</v>
      </c>
      <c r="D14" s="12" t="s">
        <v>592</v>
      </c>
      <c r="E14" s="12" t="s">
        <v>593</v>
      </c>
      <c r="F14" s="12" t="s">
        <v>594</v>
      </c>
      <c r="G14" s="12" t="s">
        <v>595</v>
      </c>
      <c r="H14" s="12" t="s">
        <v>596</v>
      </c>
      <c r="I14" s="12" t="s">
        <v>597</v>
      </c>
    </row>
    <row r="15" customFormat="false" ht="15" hidden="false" customHeight="true" outlineLevel="0" collapsed="false">
      <c r="B15" s="13" t="s">
        <v>583</v>
      </c>
      <c r="C15" s="15" t="n">
        <v>-260854.911561074</v>
      </c>
      <c r="D15" s="15" t="n">
        <v>-239042.265304856</v>
      </c>
      <c r="E15" s="15" t="n">
        <v>-203725.883853386</v>
      </c>
      <c r="F15" s="15" t="n">
        <v>-166254.968396635</v>
      </c>
      <c r="G15" s="15" t="n">
        <v>-120558.276565605</v>
      </c>
      <c r="H15" s="15" t="n">
        <v>-64887.4089441088</v>
      </c>
      <c r="I15" s="15" t="n">
        <v>-25910.3729052597</v>
      </c>
    </row>
    <row r="16" customFormat="false" ht="15" hidden="false" customHeight="true" outlineLevel="0" collapsed="false">
      <c r="B16" s="13" t="s">
        <v>584</v>
      </c>
      <c r="C16" s="15" t="n">
        <v>-236022.280218291</v>
      </c>
      <c r="D16" s="15" t="n">
        <v>-209989.902324626</v>
      </c>
      <c r="E16" s="15" t="n">
        <v>-167571.570117113</v>
      </c>
      <c r="F16" s="15" t="n">
        <v>-134545.083905763</v>
      </c>
      <c r="G16" s="15" t="n">
        <v>-22584.8201857405</v>
      </c>
      <c r="H16" s="15" t="n">
        <v>-2705.79236942352</v>
      </c>
      <c r="I16" s="15" t="n">
        <v>-1940.47078366403</v>
      </c>
    </row>
    <row r="17" customFormat="false" ht="15" hidden="false" customHeight="true" outlineLevel="0" collapsed="false">
      <c r="B17" s="13" t="s">
        <v>585</v>
      </c>
      <c r="C17" s="15" t="n">
        <v>-225342.525853794</v>
      </c>
      <c r="D17" s="15" t="n">
        <v>-199115.503491339</v>
      </c>
      <c r="E17" s="15" t="n">
        <v>-158851.879555376</v>
      </c>
      <c r="F17" s="15" t="n">
        <v>-128396.177185908</v>
      </c>
      <c r="G17" s="15" t="n">
        <v>-47589.0843003787</v>
      </c>
      <c r="H17" s="15" t="n">
        <v>-2631.69775306591</v>
      </c>
      <c r="I17" s="15" t="n">
        <v>11540.3080917691</v>
      </c>
    </row>
    <row r="18" customFormat="false" ht="15" hidden="false" customHeight="true" outlineLevel="0" collapsed="false">
      <c r="B18" s="13" t="s">
        <v>566</v>
      </c>
      <c r="C18" s="15" t="n">
        <v>-212782.806845443</v>
      </c>
      <c r="D18" s="15" t="n">
        <v>-187143.187556769</v>
      </c>
      <c r="E18" s="15" t="n">
        <v>-147154.529427984</v>
      </c>
      <c r="F18" s="15" t="n">
        <v>-88280.468357067</v>
      </c>
      <c r="G18" s="15" t="n">
        <v>-5044.92443515194</v>
      </c>
      <c r="H18" s="15" t="n">
        <v>16155.5534667202</v>
      </c>
      <c r="I18" s="15" t="n">
        <v>58999.7836049074</v>
      </c>
    </row>
    <row r="19" customFormat="false" ht="15" hidden="false" customHeight="true" outlineLevel="0" collapsed="false">
      <c r="B19" s="13" t="s">
        <v>586</v>
      </c>
      <c r="C19" s="15" t="n">
        <v>-153415.847234678</v>
      </c>
      <c r="D19" s="15" t="n">
        <v>-129871.79735368</v>
      </c>
      <c r="E19" s="15" t="n">
        <v>-93412.1851074489</v>
      </c>
      <c r="F19" s="15" t="n">
        <v>-29624.4809390204</v>
      </c>
      <c r="G19" s="15" t="n">
        <v>6617.1306895224</v>
      </c>
      <c r="H19" s="15" t="n">
        <v>74617.7600359308</v>
      </c>
      <c r="I19" s="15" t="n">
        <v>116071.884848925</v>
      </c>
    </row>
    <row r="20" customFormat="false" ht="15" hidden="false" customHeight="true" outlineLevel="0" collapsed="false">
      <c r="B20" s="13" t="s">
        <v>587</v>
      </c>
      <c r="C20" s="15" t="n">
        <v>-104329.006897304</v>
      </c>
      <c r="D20" s="15" t="n">
        <v>-84488.6847666588</v>
      </c>
      <c r="E20" s="15" t="n">
        <v>-36605.8496365219</v>
      </c>
      <c r="F20" s="15" t="n">
        <v>1437.23721428309</v>
      </c>
      <c r="G20" s="15" t="n">
        <v>66878.5551720985</v>
      </c>
      <c r="H20" s="15" t="n">
        <v>131752.82648568</v>
      </c>
      <c r="I20" s="15" t="n">
        <v>173453.151452085</v>
      </c>
    </row>
    <row r="21" customFormat="false" ht="15" hidden="false" customHeight="true" outlineLevel="0" collapsed="false">
      <c r="B21" s="13" t="s">
        <v>588</v>
      </c>
      <c r="C21" s="15" t="n">
        <v>-77300.4498965867</v>
      </c>
      <c r="D21" s="15" t="n">
        <v>-70364.9217308538</v>
      </c>
      <c r="E21" s="15" t="n">
        <v>-55079.3500736427</v>
      </c>
      <c r="F21" s="15" t="n">
        <v>-25477.2603739789</v>
      </c>
      <c r="G21" s="15" t="n">
        <v>-2695.89531110507</v>
      </c>
      <c r="H21" s="15" t="n">
        <v>17404.8801715531</v>
      </c>
      <c r="I21" s="15" t="n">
        <v>38841.841716405</v>
      </c>
    </row>
    <row r="23" customFormat="false" ht="15" hidden="false" customHeight="true" outlineLevel="0" collapsed="false">
      <c r="B23" s="24" t="s">
        <v>598</v>
      </c>
    </row>
    <row r="24" customFormat="false" ht="34.5" hidden="false" customHeight="true" outlineLevel="0" collapsed="false">
      <c r="B24" s="12" t="s">
        <v>575</v>
      </c>
      <c r="C24" s="12" t="s">
        <v>599</v>
      </c>
      <c r="D24" s="12" t="s">
        <v>600</v>
      </c>
      <c r="E24" s="12" t="s">
        <v>601</v>
      </c>
      <c r="F24" s="12" t="s">
        <v>602</v>
      </c>
      <c r="G24" s="12" t="s">
        <v>603</v>
      </c>
      <c r="H24" s="12" t="s">
        <v>578</v>
      </c>
      <c r="I24" s="12" t="s">
        <v>604</v>
      </c>
    </row>
    <row r="25" customFormat="false" ht="15" hidden="false" customHeight="true" outlineLevel="0" collapsed="false">
      <c r="B25" s="13" t="s">
        <v>583</v>
      </c>
      <c r="C25" s="15" t="n">
        <v>58713.3765960424</v>
      </c>
      <c r="D25" s="15" t="n">
        <v>58713.3765960424</v>
      </c>
      <c r="E25" s="15" t="n">
        <v>81629.3833865148</v>
      </c>
      <c r="F25" s="15" t="n">
        <v>-15802.3924422311</v>
      </c>
      <c r="G25" s="21" t="n">
        <v>0.78</v>
      </c>
      <c r="H25" s="21" t="n">
        <v>0.7691</v>
      </c>
      <c r="I25" s="15" t="n">
        <v>0</v>
      </c>
    </row>
    <row r="26" customFormat="false" ht="15" hidden="false" customHeight="true" outlineLevel="0" collapsed="false">
      <c r="B26" s="13" t="s">
        <v>584</v>
      </c>
      <c r="C26" s="15" t="n">
        <v>43425.8054920654</v>
      </c>
      <c r="D26" s="15" t="n">
        <v>54489.8140524185</v>
      </c>
      <c r="E26" s="15" t="n">
        <v>81551.9894359409</v>
      </c>
      <c r="F26" s="15" t="n">
        <v>-9936.30401678682</v>
      </c>
      <c r="G26" s="21" t="n">
        <v>0.81085</v>
      </c>
      <c r="H26" s="21" t="n">
        <v>0.59495</v>
      </c>
      <c r="I26" s="15" t="n">
        <v>0</v>
      </c>
    </row>
    <row r="27" customFormat="false" ht="15" hidden="false" customHeight="true" outlineLevel="0" collapsed="false">
      <c r="B27" s="13" t="s">
        <v>585</v>
      </c>
      <c r="C27" s="15" t="n">
        <v>46718.9353177571</v>
      </c>
      <c r="D27" s="15" t="n">
        <v>53131.0958545749</v>
      </c>
      <c r="E27" s="15" t="n">
        <v>77754.0651668817</v>
      </c>
      <c r="F27" s="15" t="n">
        <v>-6454.2089887402</v>
      </c>
      <c r="G27" s="21" t="n">
        <v>0.71955</v>
      </c>
      <c r="H27" s="21" t="n">
        <v>0.58575</v>
      </c>
      <c r="I27" s="15" t="n">
        <v>0</v>
      </c>
    </row>
    <row r="28" customFormat="false" ht="15" hidden="false" customHeight="true" outlineLevel="0" collapsed="false">
      <c r="B28" s="13" t="s">
        <v>566</v>
      </c>
      <c r="C28" s="15" t="n">
        <v>49255.8112440075</v>
      </c>
      <c r="D28" s="15" t="n">
        <v>56024.5956278859</v>
      </c>
      <c r="E28" s="15" t="n">
        <v>76402.7138090204</v>
      </c>
      <c r="F28" s="15" t="n">
        <v>4920.97649465042</v>
      </c>
      <c r="G28" s="21" t="n">
        <v>0.51555</v>
      </c>
      <c r="H28" s="21" t="n">
        <v>0.37855</v>
      </c>
      <c r="I28" s="15" t="n">
        <v>0</v>
      </c>
    </row>
    <row r="29" customFormat="false" ht="15" hidden="false" customHeight="true" outlineLevel="0" collapsed="false">
      <c r="B29" s="13" t="s">
        <v>586</v>
      </c>
      <c r="C29" s="15" t="n">
        <v>37899.3993955003</v>
      </c>
      <c r="D29" s="15" t="n">
        <v>43071.7449309857</v>
      </c>
      <c r="E29" s="15" t="n">
        <v>60645.0189320457</v>
      </c>
      <c r="F29" s="15" t="n">
        <v>12307.6417294637</v>
      </c>
      <c r="G29" s="21" t="n">
        <v>0.4206</v>
      </c>
      <c r="H29" s="21" t="n">
        <v>0.285</v>
      </c>
      <c r="I29" s="15" t="n">
        <v>28624.4953881718</v>
      </c>
    </row>
    <row r="30" customFormat="false" ht="15" hidden="false" customHeight="true" outlineLevel="0" collapsed="false">
      <c r="B30" s="13" t="s">
        <v>587</v>
      </c>
      <c r="C30" s="15" t="n">
        <v>30429.9192854428</v>
      </c>
      <c r="D30" s="15" t="n">
        <v>34552.2352531329</v>
      </c>
      <c r="E30" s="15" t="n">
        <v>51405.829978647</v>
      </c>
      <c r="F30" s="15" t="n">
        <v>23005.2352898973</v>
      </c>
      <c r="G30" s="21" t="n">
        <v>0.31205</v>
      </c>
      <c r="H30" s="21" t="n">
        <v>0.18365</v>
      </c>
      <c r="I30" s="15" t="n">
        <v>25330.2363872856</v>
      </c>
    </row>
    <row r="31" customFormat="false" ht="23.25" hidden="false" customHeight="true" outlineLevel="0" collapsed="false">
      <c r="B31" s="13" t="s">
        <v>605</v>
      </c>
      <c r="C31" s="15" t="n">
        <v>23180.5373714354</v>
      </c>
      <c r="D31" s="15" t="n">
        <v>26283.7642933297</v>
      </c>
      <c r="E31" s="15" t="n">
        <v>36805.4222000064</v>
      </c>
      <c r="F31" s="15" t="n">
        <v>27026.5037535285</v>
      </c>
      <c r="G31" s="21" t="n">
        <v>0.29735</v>
      </c>
      <c r="H31" s="21" t="n">
        <v>0.1675</v>
      </c>
      <c r="I31" s="15" t="n">
        <v>29022.3117108405</v>
      </c>
    </row>
    <row r="32" customFormat="false" ht="23.25" hidden="false" customHeight="true" outlineLevel="0" collapsed="false">
      <c r="B32" s="13" t="s">
        <v>606</v>
      </c>
      <c r="C32" s="15" t="n">
        <v>15821.1063594029</v>
      </c>
      <c r="D32" s="15" t="n">
        <v>17889.7739745017</v>
      </c>
      <c r="E32" s="15" t="n">
        <v>24919.6993495653</v>
      </c>
      <c r="F32" s="15" t="n">
        <v>34385.934765561</v>
      </c>
      <c r="G32" s="21" t="n">
        <v>0.25555</v>
      </c>
      <c r="H32" s="21" t="n">
        <v>0.1246</v>
      </c>
      <c r="I32" s="15" t="n">
        <v>29513.5954168347</v>
      </c>
    </row>
    <row r="33" customFormat="false" ht="15" hidden="false" customHeight="true" outlineLevel="0" collapsed="false">
      <c r="B33" s="13" t="s">
        <v>588</v>
      </c>
      <c r="C33" s="15" t="n">
        <v>22296.8421778221</v>
      </c>
      <c r="D33" s="15" t="n">
        <v>27594.3103415109</v>
      </c>
      <c r="E33" s="15" t="n">
        <v>32460.8344059126</v>
      </c>
      <c r="F33" s="15" t="n">
        <v>-2362.11770167123</v>
      </c>
      <c r="G33" s="21" t="n">
        <v>0.7005</v>
      </c>
      <c r="H33" s="21" t="n">
        <v>0.4874</v>
      </c>
      <c r="I33" s="15" t="n">
        <v>0</v>
      </c>
    </row>
    <row r="34" customFormat="false" ht="15" hidden="false" customHeight="true" outlineLevel="0" collapsed="false">
      <c r="B34" s="46" t="s">
        <v>607</v>
      </c>
      <c r="C34" s="46"/>
      <c r="D34" s="46"/>
      <c r="E34" s="46"/>
      <c r="F34" s="46"/>
      <c r="G34" s="46"/>
      <c r="H34" s="46"/>
      <c r="I34" s="46"/>
    </row>
    <row r="36" customFormat="false" ht="15" hidden="false" customHeight="true" outlineLevel="0" collapsed="false">
      <c r="B36" s="24" t="s">
        <v>608</v>
      </c>
    </row>
    <row r="37" customFormat="false" ht="30" hidden="false" customHeight="true" outlineLevel="0" collapsed="false">
      <c r="B37" s="47" t="s">
        <v>609</v>
      </c>
      <c r="C37" s="47"/>
      <c r="D37" s="47"/>
      <c r="E37" s="47"/>
      <c r="F37" s="47"/>
      <c r="G37" s="47"/>
      <c r="H37" s="47"/>
      <c r="I37" s="47"/>
    </row>
    <row r="38" customFormat="false" ht="30" hidden="false" customHeight="true" outlineLevel="0" collapsed="false">
      <c r="B38" s="47" t="s">
        <v>610</v>
      </c>
      <c r="C38" s="47"/>
      <c r="D38" s="47"/>
      <c r="E38" s="47"/>
      <c r="F38" s="47"/>
      <c r="G38" s="47"/>
      <c r="H38" s="47"/>
      <c r="I38" s="47"/>
    </row>
    <row r="39" customFormat="false" ht="30" hidden="false" customHeight="true" outlineLevel="0" collapsed="false">
      <c r="B39" s="47" t="s">
        <v>611</v>
      </c>
      <c r="C39" s="47"/>
      <c r="D39" s="47"/>
      <c r="E39" s="47"/>
      <c r="F39" s="47"/>
      <c r="G39" s="47"/>
      <c r="H39" s="47"/>
      <c r="I39" s="47"/>
    </row>
    <row r="40" customFormat="false" ht="30" hidden="false" customHeight="true" outlineLevel="0" collapsed="false">
      <c r="B40" s="47" t="s">
        <v>612</v>
      </c>
      <c r="C40" s="47"/>
      <c r="D40" s="47"/>
      <c r="E40" s="47"/>
      <c r="F40" s="47"/>
      <c r="G40" s="47"/>
      <c r="H40" s="47"/>
      <c r="I40" s="47"/>
    </row>
    <row r="41" customFormat="false" ht="30" hidden="false" customHeight="true" outlineLevel="0" collapsed="false">
      <c r="B41" s="47" t="s">
        <v>613</v>
      </c>
      <c r="C41" s="47"/>
      <c r="D41" s="47"/>
      <c r="E41" s="47"/>
      <c r="F41" s="47"/>
      <c r="G41" s="47"/>
      <c r="H41" s="47"/>
      <c r="I41" s="47"/>
    </row>
    <row r="42" customFormat="false" ht="30" hidden="false" customHeight="true" outlineLevel="0" collapsed="false">
      <c r="B42" s="47" t="s">
        <v>614</v>
      </c>
      <c r="C42" s="47"/>
      <c r="D42" s="47"/>
      <c r="E42" s="47"/>
      <c r="F42" s="47"/>
      <c r="G42" s="47"/>
      <c r="H42" s="47"/>
      <c r="I42" s="47"/>
    </row>
    <row r="43" customFormat="false" ht="30" hidden="false" customHeight="true" outlineLevel="0" collapsed="false">
      <c r="B43" s="47" t="s">
        <v>615</v>
      </c>
      <c r="C43" s="47"/>
      <c r="D43" s="47"/>
      <c r="E43" s="47"/>
      <c r="F43" s="47"/>
      <c r="G43" s="47"/>
      <c r="H43" s="47"/>
      <c r="I43" s="47"/>
    </row>
  </sheetData>
  <mergeCells count="9">
    <mergeCell ref="B12:I12"/>
    <mergeCell ref="B34:I34"/>
    <mergeCell ref="B37:I37"/>
    <mergeCell ref="B38:I38"/>
    <mergeCell ref="B39:I39"/>
    <mergeCell ref="B40:I40"/>
    <mergeCell ref="B41:I41"/>
    <mergeCell ref="B42:I42"/>
    <mergeCell ref="B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6"/>
    <col collapsed="false" customWidth="true" hidden="false" outlineLevel="0" max="7" min="3" style="1" width="14"/>
  </cols>
  <sheetData>
    <row r="1" customFormat="false" ht="17.25" hidden="false" customHeight="true" outlineLevel="0" collapsed="false">
      <c r="B1" s="7" t="s">
        <v>616</v>
      </c>
    </row>
    <row r="2" customFormat="false" ht="15" hidden="false" customHeight="true" outlineLevel="0" collapsed="false">
      <c r="B2" s="11" t="s">
        <v>617</v>
      </c>
    </row>
    <row r="4" customFormat="false" ht="15" hidden="false" customHeight="true" outlineLevel="0" collapsed="false">
      <c r="B4" s="12" t="s">
        <v>618</v>
      </c>
      <c r="C4" s="12" t="s">
        <v>619</v>
      </c>
      <c r="D4" s="12" t="s">
        <v>620</v>
      </c>
      <c r="E4" s="12" t="s">
        <v>621</v>
      </c>
      <c r="F4" s="12" t="s">
        <v>622</v>
      </c>
      <c r="G4" s="12" t="s">
        <v>623</v>
      </c>
    </row>
    <row r="5" customFormat="false" ht="15" hidden="false" customHeight="true" outlineLevel="0" collapsed="false">
      <c r="B5" s="13" t="s">
        <v>624</v>
      </c>
      <c r="C5" s="10" t="n">
        <v>8400</v>
      </c>
      <c r="D5" s="10" t="n">
        <v>2655</v>
      </c>
      <c r="E5" s="15" t="n">
        <v>-181294.402885079</v>
      </c>
      <c r="F5" s="15" t="n">
        <v>10360.5498804121</v>
      </c>
      <c r="G5" s="15" t="n">
        <f aca="false">F5-E5</f>
        <v>191654.952765491</v>
      </c>
    </row>
    <row r="6" customFormat="false" ht="15" hidden="false" customHeight="true" outlineLevel="0" collapsed="false">
      <c r="B6" s="13" t="s">
        <v>65</v>
      </c>
      <c r="C6" s="10" t="n">
        <v>0.15</v>
      </c>
      <c r="D6" s="10" t="n">
        <v>0.45</v>
      </c>
      <c r="E6" s="15" t="n">
        <v>-100412.617863091</v>
      </c>
      <c r="F6" s="15" t="n">
        <v>-10433.6596162602</v>
      </c>
      <c r="G6" s="15" t="n">
        <f aca="false">F6-E6</f>
        <v>89978.9582468308</v>
      </c>
    </row>
    <row r="7" customFormat="false" ht="15" hidden="false" customHeight="true" outlineLevel="0" collapsed="false">
      <c r="B7" s="13" t="s">
        <v>61</v>
      </c>
      <c r="C7" s="10" t="n">
        <v>0.1</v>
      </c>
      <c r="D7" s="10" t="n">
        <v>0.32</v>
      </c>
      <c r="E7" s="15" t="n">
        <v>-92199.1699204464</v>
      </c>
      <c r="F7" s="15" t="n">
        <v>-24199.9926676511</v>
      </c>
      <c r="G7" s="15" t="n">
        <f aca="false">F7-E7</f>
        <v>67999.1772527953</v>
      </c>
    </row>
    <row r="8" customFormat="false" ht="15" hidden="false" customHeight="true" outlineLevel="0" collapsed="false">
      <c r="B8" s="13" t="s">
        <v>80</v>
      </c>
      <c r="C8" s="10" t="n">
        <v>0.06</v>
      </c>
      <c r="D8" s="10" t="n">
        <v>0</v>
      </c>
      <c r="E8" s="15" t="n">
        <v>-82692.5723446086</v>
      </c>
      <c r="F8" s="15" t="n">
        <v>-26823.874225305</v>
      </c>
      <c r="G8" s="15" t="n">
        <f aca="false">F8-E8</f>
        <v>55868.6981193036</v>
      </c>
    </row>
    <row r="9" customFormat="false" ht="15" hidden="false" customHeight="true" outlineLevel="0" collapsed="false">
      <c r="B9" s="13" t="s">
        <v>88</v>
      </c>
      <c r="C9" s="10" t="n">
        <v>1.8</v>
      </c>
      <c r="D9" s="10" t="n">
        <v>1</v>
      </c>
      <c r="E9" s="15" t="n">
        <v>-89615.3835385841</v>
      </c>
      <c r="F9" s="15" t="n">
        <v>-34923.5599455337</v>
      </c>
      <c r="G9" s="15" t="n">
        <f aca="false">F9-E9</f>
        <v>54691.8235930504</v>
      </c>
    </row>
    <row r="10" customFormat="false" ht="15" hidden="false" customHeight="true" outlineLevel="0" collapsed="false">
      <c r="B10" s="13" t="s">
        <v>68</v>
      </c>
      <c r="C10" s="10" t="n">
        <v>0.55</v>
      </c>
      <c r="D10" s="10" t="n">
        <v>0.9</v>
      </c>
      <c r="E10" s="15" t="n">
        <v>-84092.8626621252</v>
      </c>
      <c r="F10" s="15" t="n">
        <v>-33565.7805964301</v>
      </c>
      <c r="G10" s="15" t="n">
        <f aca="false">F10-E10</f>
        <v>50527.0820656951</v>
      </c>
    </row>
    <row r="11" customFormat="false" ht="15" hidden="false" customHeight="true" outlineLevel="0" collapsed="false">
      <c r="B11" s="13" t="s">
        <v>71</v>
      </c>
      <c r="C11" s="10" t="n">
        <v>0.3</v>
      </c>
      <c r="D11" s="10" t="n">
        <v>0.7</v>
      </c>
      <c r="E11" s="15" t="n">
        <v>-78450.1109373281</v>
      </c>
      <c r="F11" s="15" t="n">
        <v>-32273.3688463649</v>
      </c>
      <c r="G11" s="15" t="n">
        <f aca="false">F11-E11</f>
        <v>46176.7420909632</v>
      </c>
    </row>
    <row r="12" customFormat="false" ht="15" hidden="false" customHeight="true" outlineLevel="0" collapsed="false">
      <c r="B12" s="13" t="s">
        <v>158</v>
      </c>
      <c r="C12" s="10" t="n">
        <v>0.7</v>
      </c>
      <c r="D12" s="10" t="n">
        <v>0.95</v>
      </c>
      <c r="E12" s="15" t="n">
        <v>-81419.2173575199</v>
      </c>
      <c r="F12" s="15" t="n">
        <v>-37701.1795364977</v>
      </c>
      <c r="G12" s="15" t="n">
        <f aca="false">F12-E12</f>
        <v>43718.0378210222</v>
      </c>
    </row>
    <row r="13" customFormat="false" ht="15" hidden="false" customHeight="true" outlineLevel="0" collapsed="false">
      <c r="B13" s="13" t="s">
        <v>57</v>
      </c>
      <c r="C13" s="10" t="n">
        <v>0.75</v>
      </c>
      <c r="D13" s="10" t="n">
        <v>1</v>
      </c>
      <c r="E13" s="15" t="n">
        <v>-81188.1711905806</v>
      </c>
      <c r="F13" s="15" t="n">
        <v>-37872.3295966755</v>
      </c>
      <c r="G13" s="15" t="n">
        <f aca="false">F13-E13</f>
        <v>43315.8415939051</v>
      </c>
    </row>
    <row r="14" customFormat="false" ht="15" hidden="false" customHeight="true" outlineLevel="0" collapsed="false">
      <c r="B14" s="13" t="s">
        <v>54</v>
      </c>
      <c r="C14" s="10" t="n">
        <v>27</v>
      </c>
      <c r="D14" s="10" t="n">
        <v>12</v>
      </c>
      <c r="E14" s="15" t="n">
        <v>-87328.4724550747</v>
      </c>
      <c r="F14" s="15" t="n">
        <v>-44781.8245148475</v>
      </c>
      <c r="G14" s="15" t="n">
        <f aca="false">F14-E14</f>
        <v>42546.6479402272</v>
      </c>
    </row>
    <row r="15" customFormat="false" ht="15" hidden="false" customHeight="true" outlineLevel="0" collapsed="false">
      <c r="B15" s="13" t="s">
        <v>164</v>
      </c>
      <c r="C15" s="10" t="n">
        <v>0</v>
      </c>
      <c r="D15" s="10" t="n">
        <v>12</v>
      </c>
      <c r="E15" s="15" t="n">
        <v>-76181.1915790566</v>
      </c>
      <c r="F15" s="15" t="n">
        <v>-37940.574301217</v>
      </c>
      <c r="G15" s="15" t="n">
        <f aca="false">F15-E15</f>
        <v>38240.6172778396</v>
      </c>
    </row>
    <row r="16" customFormat="false" ht="15" hidden="false" customHeight="true" outlineLevel="0" collapsed="false">
      <c r="B16" s="13" t="s">
        <v>625</v>
      </c>
      <c r="C16" s="10" t="s">
        <v>28</v>
      </c>
      <c r="D16" s="10" t="s">
        <v>626</v>
      </c>
      <c r="E16" s="15" t="n">
        <v>-91651.3411594994</v>
      </c>
      <c r="F16" s="15" t="n">
        <v>-56080.8839474081</v>
      </c>
      <c r="G16" s="15" t="n">
        <f aca="false">F16-E16</f>
        <v>35570.4572120913</v>
      </c>
    </row>
    <row r="17" customFormat="false" ht="15" hidden="false" customHeight="true" outlineLevel="0" collapsed="false">
      <c r="B17" s="13" t="s">
        <v>130</v>
      </c>
      <c r="C17" s="10" t="n">
        <v>1</v>
      </c>
      <c r="D17" s="10" t="n">
        <v>0.25</v>
      </c>
      <c r="E17" s="15" t="n">
        <v>-74822.0590360788</v>
      </c>
      <c r="F17" s="15" t="n">
        <v>-46710.2964030727</v>
      </c>
      <c r="G17" s="15" t="n">
        <f aca="false">F17-E17</f>
        <v>28111.7626330061</v>
      </c>
    </row>
    <row r="18" customFormat="false" ht="15" hidden="false" customHeight="true" outlineLevel="0" collapsed="false">
      <c r="B18" s="13" t="s">
        <v>74</v>
      </c>
      <c r="C18" s="10" t="n">
        <v>0.8</v>
      </c>
      <c r="D18" s="10" t="n">
        <v>0.95</v>
      </c>
      <c r="E18" s="15" t="n">
        <v>-73648.6291033696</v>
      </c>
      <c r="F18" s="15" t="n">
        <v>-46805.4842930865</v>
      </c>
      <c r="G18" s="15" t="n">
        <f aca="false">F18-E18</f>
        <v>26843.1448102831</v>
      </c>
    </row>
    <row r="19" customFormat="false" ht="15" hidden="false" customHeight="true" outlineLevel="0" collapsed="false">
      <c r="B19" s="13" t="s">
        <v>109</v>
      </c>
      <c r="C19" s="10" t="n">
        <v>240</v>
      </c>
      <c r="D19" s="10" t="n">
        <v>105</v>
      </c>
      <c r="E19" s="15" t="n">
        <v>-75829.4653085349</v>
      </c>
      <c r="F19" s="15" t="n">
        <v>-49254.8783594191</v>
      </c>
      <c r="G19" s="15" t="n">
        <f aca="false">F19-E19</f>
        <v>26574.5869491158</v>
      </c>
    </row>
    <row r="20" customFormat="false" ht="15" hidden="false" customHeight="true" outlineLevel="0" collapsed="false">
      <c r="B20" s="13" t="s">
        <v>103</v>
      </c>
      <c r="C20" s="10" t="n">
        <v>0.08</v>
      </c>
      <c r="D20" s="10" t="n">
        <v>0.015</v>
      </c>
      <c r="E20" s="15" t="n">
        <v>-65553.6506484637</v>
      </c>
      <c r="F20" s="15" t="n">
        <v>-53150.6513541553</v>
      </c>
      <c r="G20" s="15" t="n">
        <f aca="false">F20-E20</f>
        <v>12402.9992943084</v>
      </c>
    </row>
    <row r="21" customFormat="false" ht="15" hidden="false" customHeight="true" outlineLevel="0" collapsed="false">
      <c r="B21" s="13" t="s">
        <v>51</v>
      </c>
      <c r="C21" s="10" t="n">
        <v>18</v>
      </c>
      <c r="D21" s="10" t="n">
        <v>9</v>
      </c>
      <c r="E21" s="15" t="n">
        <v>-63551.0093031382</v>
      </c>
      <c r="F21" s="15" t="n">
        <v>-51745.1862825489</v>
      </c>
      <c r="G21" s="15" t="n">
        <f aca="false">F21-E21</f>
        <v>11805.8230205893</v>
      </c>
    </row>
    <row r="22" customFormat="false" ht="15" hidden="false" customHeight="true" outlineLevel="0" collapsed="false">
      <c r="B22" s="13" t="s">
        <v>121</v>
      </c>
      <c r="C22" s="10" t="n">
        <v>0</v>
      </c>
      <c r="D22" s="10" t="n">
        <v>120</v>
      </c>
      <c r="E22" s="15" t="n">
        <v>-56080.8839474081</v>
      </c>
      <c r="F22" s="15" t="n">
        <v>-45320.0612617683</v>
      </c>
      <c r="G22" s="15" t="n">
        <f aca="false">F22-E22</f>
        <v>10760.8226856398</v>
      </c>
    </row>
    <row r="23" customFormat="false" ht="15" hidden="false" customHeight="true" outlineLevel="0" collapsed="false">
      <c r="B23" s="13" t="s">
        <v>43</v>
      </c>
      <c r="C23" s="10" t="n">
        <v>120</v>
      </c>
      <c r="D23" s="10" t="n">
        <v>75</v>
      </c>
      <c r="E23" s="15" t="n">
        <v>-60262.4852266623</v>
      </c>
      <c r="F23" s="15" t="n">
        <v>-56080.8839474081</v>
      </c>
      <c r="G23" s="15" t="n">
        <f aca="false">F23-E23</f>
        <v>4181.6012792542</v>
      </c>
    </row>
    <row r="24" customFormat="false" ht="15" hidden="false" customHeight="true" outlineLevel="0" collapsed="false">
      <c r="B24" s="13" t="s">
        <v>118</v>
      </c>
      <c r="C24" s="10" t="n">
        <v>1</v>
      </c>
      <c r="D24" s="10" t="n">
        <v>0</v>
      </c>
      <c r="E24" s="15" t="n">
        <v>-58865.6759497171</v>
      </c>
      <c r="F24" s="15" t="n">
        <v>-54901.3301140847</v>
      </c>
      <c r="G24" s="15" t="n">
        <f aca="false">F24-E24</f>
        <v>3964.3458356324</v>
      </c>
    </row>
    <row r="25" customFormat="false" ht="15" hidden="false" customHeight="true" outlineLevel="0" collapsed="false">
      <c r="B25" s="13" t="s">
        <v>39</v>
      </c>
      <c r="C25" s="10" t="n">
        <v>9</v>
      </c>
      <c r="D25" s="10" t="n">
        <v>5</v>
      </c>
      <c r="E25" s="15" t="n">
        <v>-58589.9556964579</v>
      </c>
      <c r="F25" s="15" t="n">
        <v>-55013.4576571879</v>
      </c>
      <c r="G25" s="15" t="n">
        <f aca="false">F25-E25</f>
        <v>3576.49803927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8"/>
    <col collapsed="false" customWidth="true" hidden="false" outlineLevel="0" max="6" min="3" style="1" width="16"/>
  </cols>
  <sheetData>
    <row r="1" customFormat="false" ht="17.25" hidden="false" customHeight="true" outlineLevel="0" collapsed="false">
      <c r="B1" s="7" t="s">
        <v>627</v>
      </c>
    </row>
    <row r="2" customFormat="false" ht="15" hidden="false" customHeight="true" outlineLevel="0" collapsed="false">
      <c r="B2" s="11" t="s">
        <v>628</v>
      </c>
    </row>
    <row r="4" customFormat="false" ht="23.25" hidden="false" customHeight="true" outlineLevel="0" collapsed="false">
      <c r="B4" s="12" t="s">
        <v>629</v>
      </c>
      <c r="C4" s="12" t="s">
        <v>630</v>
      </c>
      <c r="D4" s="12" t="s">
        <v>631</v>
      </c>
      <c r="E4" s="12" t="s">
        <v>632</v>
      </c>
      <c r="F4" s="12" t="s">
        <v>633</v>
      </c>
    </row>
    <row r="5" customFormat="false" ht="15" hidden="false" customHeight="true" outlineLevel="0" collapsed="false">
      <c r="B5" s="22" t="n">
        <v>0</v>
      </c>
      <c r="C5" s="15" t="n">
        <v>0</v>
      </c>
      <c r="D5" s="15" t="n">
        <v>38358.1599270061</v>
      </c>
      <c r="E5" s="15" t="n">
        <v>35683.1599270061</v>
      </c>
      <c r="F5" s="21" t="n">
        <v>0.518064237680219</v>
      </c>
    </row>
    <row r="6" customFormat="false" ht="15" hidden="false" customHeight="true" outlineLevel="0" collapsed="false">
      <c r="B6" s="22" t="n">
        <v>0.05</v>
      </c>
      <c r="C6" s="15" t="n">
        <v>15463.7050275642</v>
      </c>
      <c r="D6" s="15" t="n">
        <v>53821.8649545703</v>
      </c>
      <c r="E6" s="15" t="n">
        <v>35683.1599270061</v>
      </c>
      <c r="F6" s="21" t="n">
        <v>0.601327858695998</v>
      </c>
    </row>
    <row r="7" customFormat="false" ht="15" hidden="false" customHeight="true" outlineLevel="0" collapsed="false">
      <c r="B7" s="22" t="n">
        <v>0.1</v>
      </c>
      <c r="C7" s="15" t="n">
        <v>29521.6186889862</v>
      </c>
      <c r="D7" s="15" t="n">
        <v>67879.7786159923</v>
      </c>
      <c r="E7" s="15" t="n">
        <v>35683.1599270061</v>
      </c>
      <c r="F7" s="21" t="n">
        <v>0.655444694511147</v>
      </c>
    </row>
    <row r="8" customFormat="false" ht="15" hidden="false" customHeight="true" outlineLevel="0" collapsed="false">
      <c r="B8" s="22" t="n">
        <v>0.15</v>
      </c>
      <c r="C8" s="15" t="n">
        <v>42357.105075502</v>
      </c>
      <c r="D8" s="15" t="n">
        <v>80715.2650025081</v>
      </c>
      <c r="E8" s="15" t="n">
        <v>35683.1599270061</v>
      </c>
      <c r="F8" s="21" t="n">
        <v>0.693439495005072</v>
      </c>
    </row>
    <row r="9" customFormat="false" ht="15" hidden="false" customHeight="true" outlineLevel="0" collapsed="false">
      <c r="B9" s="22" t="n">
        <v>0.25</v>
      </c>
      <c r="C9" s="15" t="n">
        <v>64947.5611157697</v>
      </c>
      <c r="D9" s="15" t="n">
        <v>103305.721042776</v>
      </c>
      <c r="E9" s="15" t="n">
        <v>35683.1599270061</v>
      </c>
      <c r="F9" s="21" t="n">
        <v>0.74326608230795</v>
      </c>
    </row>
    <row r="10" customFormat="false" ht="15" hidden="false" customHeight="true" outlineLevel="0" collapsed="false">
      <c r="B10" s="22" t="n">
        <v>0.4</v>
      </c>
      <c r="C10" s="15" t="n">
        <v>92782.2301653853</v>
      </c>
      <c r="D10" s="15" t="n">
        <v>131140.390092391</v>
      </c>
      <c r="E10" s="15" t="n">
        <v>35683.1599270061</v>
      </c>
      <c r="F10" s="21" t="n">
        <v>0.786102382290408</v>
      </c>
    </row>
    <row r="12" customFormat="false" ht="15" hidden="false" customHeight="true" outlineLevel="0" collapsed="false">
      <c r="B12" s="11" t="s">
        <v>634</v>
      </c>
    </row>
    <row r="14" customFormat="false" ht="15" hidden="false" customHeight="true" outlineLevel="0" collapsed="false">
      <c r="B14" s="24" t="s">
        <v>635</v>
      </c>
    </row>
    <row r="15" customFormat="false" ht="15" hidden="false" customHeight="true" outlineLevel="0" collapsed="false">
      <c r="B15" s="12" t="s">
        <v>636</v>
      </c>
      <c r="C15" s="12" t="s">
        <v>637</v>
      </c>
      <c r="D15" s="12" t="s">
        <v>559</v>
      </c>
      <c r="E15" s="12" t="s">
        <v>560</v>
      </c>
      <c r="F15" s="12" t="s">
        <v>561</v>
      </c>
    </row>
    <row r="16" customFormat="false" ht="15" hidden="false" customHeight="true" outlineLevel="0" collapsed="false">
      <c r="B16" s="10" t="s">
        <v>638</v>
      </c>
      <c r="C16" s="15" t="n">
        <v>141445.02726981</v>
      </c>
      <c r="D16" s="15" t="n">
        <v>-115475.922447934</v>
      </c>
      <c r="E16" s="21" t="s">
        <v>639</v>
      </c>
      <c r="F16" s="45" t="n">
        <v>0</v>
      </c>
    </row>
    <row r="17" customFormat="false" ht="15" hidden="false" customHeight="true" outlineLevel="0" collapsed="false">
      <c r="B17" s="10" t="s">
        <v>640</v>
      </c>
      <c r="C17" s="15" t="n">
        <v>139377.665902067</v>
      </c>
      <c r="D17" s="15" t="n">
        <v>-114002.036476054</v>
      </c>
      <c r="E17" s="21" t="n">
        <v>-0.999999221677635</v>
      </c>
      <c r="F17" s="45" t="n">
        <v>0.00360937602003346</v>
      </c>
    </row>
    <row r="18" customFormat="false" ht="15" hidden="false" customHeight="true" outlineLevel="0" collapsed="false">
      <c r="B18" s="10" t="s">
        <v>641</v>
      </c>
      <c r="C18" s="15" t="n">
        <v>137310.304534325</v>
      </c>
      <c r="D18" s="15" t="n">
        <v>-112528.150504174</v>
      </c>
      <c r="E18" s="21" t="n">
        <v>-0.999664005987373</v>
      </c>
      <c r="F18" s="45" t="n">
        <v>0.00809707474160013</v>
      </c>
    </row>
    <row r="19" customFormat="false" ht="15" hidden="false" customHeight="true" outlineLevel="0" collapsed="false">
      <c r="B19" s="10" t="s">
        <v>642</v>
      </c>
      <c r="C19" s="15" t="n">
        <v>75339.3791896899</v>
      </c>
      <c r="D19" s="15" t="n">
        <v>-35826.7127831332</v>
      </c>
      <c r="E19" s="21" t="n">
        <v>-0.0952960011020446</v>
      </c>
      <c r="F19" s="45" t="n">
        <v>0.754907272195401</v>
      </c>
    </row>
    <row r="20" customFormat="false" ht="15" hidden="false" customHeight="true" outlineLevel="0" collapsed="false">
      <c r="B20" s="10" t="s">
        <v>643</v>
      </c>
      <c r="C20" s="15" t="n">
        <v>74247.2827845348</v>
      </c>
      <c r="D20" s="15" t="n">
        <v>-4347.23772836442</v>
      </c>
      <c r="E20" s="21" t="n">
        <v>0.123759041013927</v>
      </c>
      <c r="F20" s="45" t="n">
        <v>1.35281202315589</v>
      </c>
    </row>
    <row r="21" customFormat="false" ht="15" hidden="false" customHeight="true" outlineLevel="0" collapsed="false">
      <c r="B21" s="10" t="s">
        <v>644</v>
      </c>
      <c r="C21" s="15" t="n">
        <v>73254.6519045676</v>
      </c>
      <c r="D21" s="15" t="n">
        <v>26863.443909446</v>
      </c>
      <c r="E21" s="21" t="n">
        <v>0.298466936273824</v>
      </c>
      <c r="F21" s="45" t="n">
        <v>1.89459404872755</v>
      </c>
    </row>
    <row r="22" customFormat="false" ht="15" hidden="false" customHeight="true" outlineLevel="0" collapsed="false">
      <c r="B22" s="10" t="s">
        <v>645</v>
      </c>
      <c r="C22" s="15" t="n">
        <v>66394.0945676129</v>
      </c>
      <c r="D22" s="15" t="n">
        <v>274377.844088232</v>
      </c>
      <c r="E22" s="21" t="n">
        <v>1.3906691834727</v>
      </c>
      <c r="F22" s="45" t="n">
        <v>4.698041978602</v>
      </c>
    </row>
    <row r="23" customFormat="false" ht="15" hidden="false" customHeight="true" outlineLevel="0" collapsed="false">
      <c r="B23" s="10" t="s">
        <v>646</v>
      </c>
      <c r="C23" s="15" t="n">
        <v>65249.8918514193</v>
      </c>
      <c r="D23" s="15" t="n">
        <v>453543.87279791</v>
      </c>
      <c r="E23" s="21" t="n">
        <v>1.97795841253051</v>
      </c>
      <c r="F23" s="45" t="n">
        <v>5.76267918146064</v>
      </c>
    </row>
    <row r="24" customFormat="false" ht="15" hidden="false" customHeight="true" outlineLevel="0" collapsed="false">
      <c r="B24" s="10" t="s">
        <v>647</v>
      </c>
      <c r="C24" s="15" t="n">
        <v>64105.6891352258</v>
      </c>
      <c r="D24" s="15" t="n">
        <v>632646.724824948</v>
      </c>
      <c r="E24" s="21" t="n">
        <v>2.49970799895939</v>
      </c>
      <c r="F24" s="45" t="n">
        <v>6.46674525331321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17.25" hidden="false" customHeight="true" outlineLevel="0" collapsed="false">
      <c r="B1" s="7" t="s">
        <v>648</v>
      </c>
    </row>
    <row r="2" customFormat="false" ht="15" hidden="false" customHeight="true" outlineLevel="0" collapsed="false">
      <c r="B2" s="11" t="s">
        <v>649</v>
      </c>
    </row>
    <row r="4" customFormat="false" ht="34.5" hidden="false" customHeight="true" outlineLevel="0" collapsed="false">
      <c r="B4" s="12" t="s">
        <v>575</v>
      </c>
      <c r="C4" s="12" t="s">
        <v>650</v>
      </c>
      <c r="D4" s="12" t="s">
        <v>602</v>
      </c>
      <c r="E4" s="12" t="s">
        <v>651</v>
      </c>
      <c r="F4" s="12" t="s">
        <v>652</v>
      </c>
    </row>
    <row r="5" customFormat="false" ht="15" hidden="false" customHeight="true" outlineLevel="0" collapsed="false">
      <c r="B5" s="10" t="s">
        <v>653</v>
      </c>
      <c r="C5" s="15" t="n">
        <v>58713.3765960424</v>
      </c>
      <c r="D5" s="15" t="n">
        <v>-15802.3924422311</v>
      </c>
      <c r="E5" s="15" t="n">
        <v>0</v>
      </c>
      <c r="F5" s="15" t="n">
        <v>0</v>
      </c>
    </row>
    <row r="6" customFormat="false" ht="15" hidden="false" customHeight="true" outlineLevel="0" collapsed="false">
      <c r="B6" s="10" t="s">
        <v>654</v>
      </c>
      <c r="C6" s="15" t="n">
        <v>56024.5956278859</v>
      </c>
      <c r="D6" s="15" t="n">
        <v>4920.97649465042</v>
      </c>
      <c r="E6" s="15" t="n">
        <v>0</v>
      </c>
      <c r="F6" s="15" t="n">
        <v>0</v>
      </c>
    </row>
    <row r="7" customFormat="false" ht="15" hidden="false" customHeight="true" outlineLevel="0" collapsed="false">
      <c r="B7" s="10" t="s">
        <v>655</v>
      </c>
      <c r="C7" s="15" t="n">
        <v>43071.7449309857</v>
      </c>
      <c r="D7" s="15" t="n">
        <v>12307.6417294637</v>
      </c>
      <c r="E7" s="15" t="n">
        <v>28624.4953881718</v>
      </c>
      <c r="F7" s="15" t="n">
        <v>0</v>
      </c>
    </row>
    <row r="8" customFormat="false" ht="15" hidden="false" customHeight="true" outlineLevel="0" collapsed="false">
      <c r="B8" s="10" t="s">
        <v>656</v>
      </c>
      <c r="C8" s="15" t="n">
        <v>34552.2352531329</v>
      </c>
      <c r="D8" s="15" t="n">
        <v>23005.2352898973</v>
      </c>
      <c r="E8" s="15" t="n">
        <v>25330.2363872856</v>
      </c>
      <c r="F8" s="15" t="n">
        <v>0</v>
      </c>
    </row>
    <row r="9" customFormat="false" ht="15" hidden="false" customHeight="true" outlineLevel="0" collapsed="false">
      <c r="B9" s="10" t="s">
        <v>657</v>
      </c>
      <c r="C9" s="15" t="n">
        <v>36362.7517376641</v>
      </c>
      <c r="D9" s="15" t="n">
        <v>-1857.86374247973</v>
      </c>
      <c r="E9" s="15" t="n">
        <v>0</v>
      </c>
      <c r="F9" s="15" t="n">
        <v>0</v>
      </c>
    </row>
    <row r="10" customFormat="false" ht="15" hidden="false" customHeight="true" outlineLevel="0" collapsed="false">
      <c r="B10" s="10" t="s">
        <v>658</v>
      </c>
      <c r="C10" s="15" t="n">
        <v>43566.1915678707</v>
      </c>
      <c r="D10" s="15" t="n">
        <v>6943.16545970388</v>
      </c>
      <c r="E10" s="15" t="n">
        <v>16751.8796712833</v>
      </c>
      <c r="F10" s="15" t="n">
        <v>0</v>
      </c>
    </row>
    <row r="11" customFormat="false" ht="15" hidden="false" customHeight="true" outlineLevel="0" collapsed="false">
      <c r="B11" s="10" t="s">
        <v>659</v>
      </c>
      <c r="C11" s="15" t="n">
        <v>26283.7642933297</v>
      </c>
      <c r="D11" s="15" t="n">
        <v>27026.5037535285</v>
      </c>
      <c r="E11" s="15" t="n">
        <v>29022.3117108405</v>
      </c>
      <c r="F11" s="15" t="n">
        <v>26195.5888891042</v>
      </c>
    </row>
    <row r="12" customFormat="false" ht="15" hidden="false" customHeight="true" outlineLevel="0" collapsed="false">
      <c r="B12" s="10" t="s">
        <v>660</v>
      </c>
      <c r="C12" s="15" t="n">
        <v>27594.3103415109</v>
      </c>
      <c r="D12" s="15" t="n">
        <v>-2362.11770167123</v>
      </c>
      <c r="E12" s="15" t="n">
        <v>0</v>
      </c>
      <c r="F12" s="15" t="n">
        <v>0</v>
      </c>
    </row>
    <row r="13" customFormat="false" ht="15" hidden="false" customHeight="true" outlineLevel="0" collapsed="false">
      <c r="B13" s="11" t="s">
        <v>661</v>
      </c>
    </row>
    <row r="16" customFormat="false" ht="15" hidden="false" customHeight="true" outlineLevel="0" collapsed="false">
      <c r="B16" s="24" t="s">
        <v>662</v>
      </c>
    </row>
    <row r="17" customFormat="false" ht="15" hidden="false" customHeight="true" outlineLevel="0" collapsed="false">
      <c r="B17" s="10" t="s">
        <v>663</v>
      </c>
      <c r="C17" s="14" t="n">
        <v>60000</v>
      </c>
    </row>
    <row r="18" customFormat="false" ht="15" hidden="false" customHeight="true" outlineLevel="0" collapsed="false">
      <c r="B18" s="10" t="s">
        <v>664</v>
      </c>
      <c r="C18" s="14" t="n">
        <v>10000</v>
      </c>
    </row>
    <row r="19" customFormat="false" ht="15" hidden="false" customHeight="true" outlineLevel="0" collapsed="false">
      <c r="B19" s="10" t="s">
        <v>665</v>
      </c>
      <c r="C19" s="20" t="n">
        <v>0.15</v>
      </c>
    </row>
    <row r="20" customFormat="false" ht="15" hidden="false" customHeight="true" outlineLevel="0" collapsed="false">
      <c r="B20" s="8" t="s">
        <v>666</v>
      </c>
      <c r="C20" s="25" t="n">
        <f aca="false">MIN(C17*C19,C17-C18)</f>
        <v>9000</v>
      </c>
    </row>
    <row r="21" customFormat="false" ht="15" hidden="false" customHeight="true" outlineLevel="0" collapsed="false">
      <c r="B21" s="10" t="s">
        <v>667</v>
      </c>
      <c r="C21" s="38" t="n">
        <f aca="false">Valoración!C39</f>
        <v>43434.8016211893</v>
      </c>
    </row>
    <row r="22" customFormat="false" ht="15" hidden="false" customHeight="true" outlineLevel="0" collapsed="false">
      <c r="B22" s="8" t="s">
        <v>668</v>
      </c>
      <c r="C22" s="8" t="str">
        <f aca="false">IF(C21&lt;=C20,"Sí","No: hay que cambiar el trato o no entrar")</f>
        <v>No: hay que cambiar el trato o no entrar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7" min="3" style="1" width="14"/>
  </cols>
  <sheetData>
    <row r="1" customFormat="false" ht="17.25" hidden="false" customHeight="true" outlineLevel="0" collapsed="false">
      <c r="B1" s="7" t="s">
        <v>669</v>
      </c>
    </row>
    <row r="3" customFormat="false" ht="15" hidden="false" customHeight="true" outlineLevel="0" collapsed="false">
      <c r="B3" s="12" t="s">
        <v>670</v>
      </c>
      <c r="C3" s="12" t="s">
        <v>671</v>
      </c>
      <c r="D3" s="12" t="s">
        <v>672</v>
      </c>
      <c r="E3" s="12" t="s">
        <v>673</v>
      </c>
      <c r="F3" s="12" t="s">
        <v>674</v>
      </c>
      <c r="G3" s="12" t="s">
        <v>675</v>
      </c>
    </row>
    <row r="4" customFormat="false" ht="15" hidden="false" customHeight="true" outlineLevel="0" collapsed="false">
      <c r="B4" s="10" t="s">
        <v>363</v>
      </c>
      <c r="C4" s="15" t="n">
        <v>2846424.24</v>
      </c>
      <c r="D4" s="15" t="n">
        <v>51235.63632</v>
      </c>
      <c r="E4" s="48" t="n">
        <v>22.77139392</v>
      </c>
      <c r="F4" s="15" t="n">
        <v>21689.7527088</v>
      </c>
      <c r="G4" s="15" t="n">
        <v>952.5</v>
      </c>
    </row>
    <row r="5" customFormat="false" ht="15" hidden="false" customHeight="true" outlineLevel="0" collapsed="false">
      <c r="B5" s="10" t="s">
        <v>367</v>
      </c>
      <c r="C5" s="15" t="n">
        <v>64756.18665</v>
      </c>
      <c r="D5" s="15" t="n">
        <v>39362.537644875</v>
      </c>
      <c r="E5" s="48" t="n">
        <v>35.6194646039604</v>
      </c>
      <c r="F5" s="15" t="n">
        <v>24997.5069515663</v>
      </c>
      <c r="G5" s="15" t="n">
        <v>701.79345</v>
      </c>
    </row>
    <row r="6" customFormat="false" ht="15" hidden="false" customHeight="true" outlineLevel="0" collapsed="false">
      <c r="B6" s="10" t="s">
        <v>370</v>
      </c>
      <c r="C6" s="15" t="n">
        <v>29601.6271875</v>
      </c>
      <c r="D6" s="15" t="n">
        <v>5673.35643395625</v>
      </c>
      <c r="E6" s="48" t="n">
        <v>0.2368130175</v>
      </c>
      <c r="F6" s="15" t="n">
        <v>3419.72798083594</v>
      </c>
      <c r="G6" s="15" t="n">
        <v>14440.625</v>
      </c>
    </row>
    <row r="7" customFormat="false" ht="15" hidden="false" customHeight="true" outlineLevel="0" collapsed="false">
      <c r="B7" s="10" t="s">
        <v>373</v>
      </c>
      <c r="C7" s="15" t="n">
        <v>1159.7553</v>
      </c>
      <c r="D7" s="15" t="n">
        <v>4362.9994386</v>
      </c>
      <c r="E7" s="48" t="n">
        <v>0.754067165149545</v>
      </c>
      <c r="F7" s="15" t="n">
        <v>1901.128875525</v>
      </c>
      <c r="G7" s="15" t="n">
        <v>2521.1665</v>
      </c>
    </row>
    <row r="8" customFormat="false" ht="15" hidden="false" customHeight="true" outlineLevel="0" collapsed="false">
      <c r="B8" s="10" t="s">
        <v>376</v>
      </c>
      <c r="C8" s="15" t="n">
        <v>20474.3682</v>
      </c>
      <c r="D8" s="15" t="n">
        <v>11337.97769973</v>
      </c>
      <c r="E8" s="48" t="n">
        <v>1.2285112324493</v>
      </c>
      <c r="F8" s="15" t="n">
        <v>5750.635796334</v>
      </c>
      <c r="G8" s="15" t="n">
        <v>4680.97942</v>
      </c>
    </row>
    <row r="9" customFormat="false" ht="15" hidden="false" customHeight="true" outlineLevel="0" collapsed="false">
      <c r="B9" s="10" t="s">
        <v>379</v>
      </c>
      <c r="C9" s="15" t="n">
        <v>58921.673175</v>
      </c>
      <c r="D9" s="15" t="n">
        <v>18547.1033318438</v>
      </c>
      <c r="E9" s="48" t="n">
        <v>3.53544180817233</v>
      </c>
      <c r="F9" s="15" t="n">
        <v>9571.53119891288</v>
      </c>
      <c r="G9" s="15" t="n">
        <v>2707.30837</v>
      </c>
    </row>
    <row r="10" customFormat="false" ht="15" hidden="false" customHeight="true" outlineLevel="0" collapsed="false">
      <c r="B10" s="10" t="s">
        <v>382</v>
      </c>
      <c r="C10" s="15" t="n">
        <v>21712.922325</v>
      </c>
      <c r="D10" s="15" t="n">
        <v>37687.3612731</v>
      </c>
      <c r="E10" s="48" t="n">
        <v>2.82279281396256</v>
      </c>
      <c r="F10" s="15" t="n">
        <v>3118.62703353975</v>
      </c>
      <c r="G10" s="15" t="n">
        <v>1104.80196</v>
      </c>
    </row>
    <row r="11" customFormat="false" ht="15" hidden="false" customHeight="true" outlineLevel="0" collapsed="false">
      <c r="B11" s="10" t="s">
        <v>385</v>
      </c>
      <c r="C11" s="15" t="n">
        <v>50472.929025</v>
      </c>
      <c r="D11" s="15" t="n">
        <v>6412.3097019075</v>
      </c>
      <c r="E11" s="48" t="n">
        <v>0.252364645125</v>
      </c>
      <c r="F11" s="15" t="n">
        <v>605.6751483</v>
      </c>
      <c r="G11" s="15" t="n">
        <v>2400</v>
      </c>
    </row>
    <row r="12" customFormat="false" ht="15" hidden="false" customHeight="true" outlineLevel="0" collapsed="false">
      <c r="B12" s="10" t="s">
        <v>387</v>
      </c>
      <c r="C12" s="15" t="n">
        <v>4436.0494875</v>
      </c>
      <c r="D12" s="15" t="n">
        <v>13662.7331028188</v>
      </c>
      <c r="E12" s="48" t="n">
        <v>0.8872098975</v>
      </c>
      <c r="F12" s="15" t="n">
        <v>2590.78598218463</v>
      </c>
      <c r="G12" s="15" t="n">
        <v>2920.15</v>
      </c>
    </row>
    <row r="13" customFormat="false" ht="15" hidden="false" customHeight="true" outlineLevel="0" collapsed="false">
      <c r="B13" s="10" t="s">
        <v>390</v>
      </c>
      <c r="C13" s="15" t="n">
        <v>19545.509025</v>
      </c>
      <c r="D13" s="15" t="n">
        <v>10885.0926979688</v>
      </c>
      <c r="E13" s="48" t="n">
        <v>3.22533152227723</v>
      </c>
      <c r="F13" s="15" t="n">
        <v>5066.78230455075</v>
      </c>
      <c r="G13" s="15" t="n">
        <v>1570.9338</v>
      </c>
    </row>
    <row r="14" customFormat="false" ht="15" hidden="false" customHeight="true" outlineLevel="0" collapsed="false">
      <c r="B14" s="10" t="s">
        <v>393</v>
      </c>
      <c r="C14" s="15" t="n">
        <v>14615.045775</v>
      </c>
      <c r="D14" s="15" t="n">
        <v>14288.0043180375</v>
      </c>
      <c r="E14" s="48" t="n">
        <v>2.41172372524753</v>
      </c>
      <c r="F14" s="15" t="n">
        <v>2580.17671873294</v>
      </c>
      <c r="G14" s="15" t="n">
        <v>1069.84755</v>
      </c>
    </row>
    <row r="15" customFormat="false" ht="15" hidden="false" customHeight="true" outlineLevel="0" collapsed="false">
      <c r="B15" s="8" t="s">
        <v>474</v>
      </c>
      <c r="E15" s="49" t="n">
        <f aca="false">SUM(E4:E14)</f>
        <v>73.7451143513439</v>
      </c>
      <c r="F15" s="25" t="n">
        <f aca="false">SUM(F4:F14)</f>
        <v>81292.3306992822</v>
      </c>
    </row>
    <row r="17" customFormat="false" ht="15" hidden="false" customHeight="true" outlineLevel="0" collapsed="false">
      <c r="B17" s="24" t="s">
        <v>676</v>
      </c>
    </row>
    <row r="18" customFormat="false" ht="15" hidden="false" customHeight="true" outlineLevel="0" collapsed="false">
      <c r="B18" s="10" t="s">
        <v>677</v>
      </c>
      <c r="C18" s="17" t="n">
        <v>1000</v>
      </c>
    </row>
    <row r="19" customFormat="false" ht="15" hidden="false" customHeight="true" outlineLevel="0" collapsed="false">
      <c r="B19" s="10" t="s">
        <v>678</v>
      </c>
      <c r="C19" s="22" t="n">
        <v>0.15</v>
      </c>
    </row>
    <row r="20" customFormat="false" ht="15" hidden="false" customHeight="true" outlineLevel="0" collapsed="false">
      <c r="B20" s="10" t="s">
        <v>679</v>
      </c>
      <c r="C20" s="17" t="n">
        <v>16</v>
      </c>
    </row>
    <row r="21" customFormat="false" ht="15" hidden="false" customHeight="true" outlineLevel="0" collapsed="false">
      <c r="B21" s="10" t="s">
        <v>680</v>
      </c>
      <c r="C21" s="22" t="n">
        <v>0.03</v>
      </c>
    </row>
    <row r="22" customFormat="false" ht="15" hidden="false" customHeight="true" outlineLevel="0" collapsed="false">
      <c r="B22" s="10" t="s">
        <v>681</v>
      </c>
      <c r="C22" s="15" t="n">
        <f aca="false">F15/E15</f>
        <v>1102.34191667235</v>
      </c>
    </row>
    <row r="23" customFormat="false" ht="15" hidden="false" customHeight="true" outlineLevel="0" collapsed="false">
      <c r="B23" s="10" t="s">
        <v>682</v>
      </c>
      <c r="C23" s="15" t="n">
        <f aca="false">C19*C22+12*C20+C21*C22</f>
        <v>390.421545001023</v>
      </c>
    </row>
    <row r="24" customFormat="false" ht="15" hidden="false" customHeight="true" outlineLevel="0" collapsed="false">
      <c r="B24" s="8" t="s">
        <v>683</v>
      </c>
      <c r="C24" s="49" t="n">
        <f aca="false">SQRT(2*E15*C18/C23)</f>
        <v>19.4363511474593</v>
      </c>
    </row>
    <row r="25" customFormat="false" ht="15" hidden="false" customHeight="true" outlineLevel="0" collapsed="false">
      <c r="B25" s="8" t="s">
        <v>684</v>
      </c>
      <c r="C25" s="49" t="n">
        <f aca="false">E15/C24</f>
        <v>3.79418512208675</v>
      </c>
    </row>
    <row r="27" customFormat="false" ht="15" hidden="false" customHeight="true" outlineLevel="0" collapsed="false">
      <c r="B27" s="24" t="s">
        <v>685</v>
      </c>
    </row>
    <row r="28" customFormat="false" ht="15" hidden="false" customHeight="true" outlineLevel="0" collapsed="false">
      <c r="B28" s="10" t="s">
        <v>686</v>
      </c>
      <c r="C28" s="50" t="n">
        <v>24</v>
      </c>
    </row>
    <row r="29" customFormat="false" ht="15" hidden="false" customHeight="true" outlineLevel="0" collapsed="false">
      <c r="B29" s="10" t="s">
        <v>687</v>
      </c>
      <c r="C29" s="51" t="n">
        <v>18</v>
      </c>
    </row>
    <row r="30" customFormat="false" ht="15" hidden="false" customHeight="true" outlineLevel="0" collapsed="false">
      <c r="B30" s="10" t="s">
        <v>688</v>
      </c>
      <c r="C30" s="52" t="n">
        <v>1</v>
      </c>
    </row>
    <row r="31" customFormat="false" ht="15" hidden="false" customHeight="true" outlineLevel="0" collapsed="false">
      <c r="B31" s="10" t="s">
        <v>689</v>
      </c>
      <c r="C31" s="53" t="n">
        <f aca="false">p_ship_m</f>
        <v>2</v>
      </c>
    </row>
    <row r="32" customFormat="false" ht="15" hidden="false" customHeight="true" outlineLevel="0" collapsed="false">
      <c r="B32" s="10" t="s">
        <v>690</v>
      </c>
      <c r="C32" s="23" t="n">
        <v>0.25</v>
      </c>
    </row>
    <row r="33" customFormat="false" ht="15" hidden="false" customHeight="true" outlineLevel="0" collapsed="false">
      <c r="B33" s="8" t="s">
        <v>691</v>
      </c>
      <c r="C33" s="54" t="n">
        <f aca="false">C28-C29-C30-C31-C32</f>
        <v>2.75</v>
      </c>
    </row>
    <row r="35" customFormat="false" ht="15" hidden="false" customHeight="true" outlineLevel="0" collapsed="false">
      <c r="B35" s="11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0"/>
    <col collapsed="false" customWidth="true" hidden="false" outlineLevel="0" max="3" min="3" style="1" width="100"/>
  </cols>
  <sheetData>
    <row r="1" customFormat="false" ht="17.25" hidden="false" customHeight="true" outlineLevel="0" collapsed="false">
      <c r="B1" s="7" t="s">
        <v>693</v>
      </c>
    </row>
    <row r="3" customFormat="false" ht="15" hidden="false" customHeight="true" outlineLevel="0" collapsed="false">
      <c r="B3" s="12" t="s">
        <v>694</v>
      </c>
      <c r="C3" s="12" t="s">
        <v>695</v>
      </c>
    </row>
    <row r="4" customFormat="false" ht="15" hidden="false" customHeight="true" outlineLevel="0" collapsed="false">
      <c r="B4" s="13" t="s">
        <v>696</v>
      </c>
      <c r="C4" s="10" t="s">
        <v>697</v>
      </c>
    </row>
    <row r="5" customFormat="false" ht="15" hidden="false" customHeight="true" outlineLevel="0" collapsed="false">
      <c r="B5" s="13" t="s">
        <v>698</v>
      </c>
      <c r="C5" s="10" t="s">
        <v>699</v>
      </c>
    </row>
    <row r="6" customFormat="false" ht="23.25" hidden="false" customHeight="true" outlineLevel="0" collapsed="false">
      <c r="B6" s="13" t="s">
        <v>700</v>
      </c>
      <c r="C6" s="10" t="s">
        <v>701</v>
      </c>
    </row>
    <row r="7" customFormat="false" ht="15" hidden="false" customHeight="true" outlineLevel="0" collapsed="false">
      <c r="B7" s="13" t="s">
        <v>702</v>
      </c>
      <c r="C7" s="10" t="s">
        <v>703</v>
      </c>
    </row>
    <row r="8" customFormat="false" ht="15" hidden="false" customHeight="true" outlineLevel="0" collapsed="false">
      <c r="B8" s="13" t="s">
        <v>704</v>
      </c>
      <c r="C8" s="10" t="s">
        <v>705</v>
      </c>
    </row>
    <row r="9" customFormat="false" ht="15" hidden="false" customHeight="true" outlineLevel="0" collapsed="false">
      <c r="B9" s="13" t="s">
        <v>706</v>
      </c>
      <c r="C9" s="10" t="s">
        <v>707</v>
      </c>
    </row>
    <row r="10" customFormat="false" ht="15" hidden="false" customHeight="true" outlineLevel="0" collapsed="false">
      <c r="B10" s="13" t="s">
        <v>708</v>
      </c>
      <c r="C10" s="10" t="s">
        <v>709</v>
      </c>
    </row>
    <row r="11" customFormat="false" ht="15" hidden="false" customHeight="true" outlineLevel="0" collapsed="false">
      <c r="B11" s="13" t="s">
        <v>710</v>
      </c>
      <c r="C11" s="10" t="s">
        <v>711</v>
      </c>
    </row>
    <row r="12" customFormat="false" ht="15" hidden="false" customHeight="true" outlineLevel="0" collapsed="false">
      <c r="B12" s="13" t="s">
        <v>712</v>
      </c>
      <c r="C12" s="10" t="s">
        <v>713</v>
      </c>
    </row>
    <row r="13" customFormat="false" ht="15" hidden="false" customHeight="true" outlineLevel="0" collapsed="false">
      <c r="B13" s="13" t="s">
        <v>714</v>
      </c>
      <c r="C13" s="10" t="s">
        <v>715</v>
      </c>
    </row>
    <row r="14" customFormat="false" ht="15" hidden="false" customHeight="true" outlineLevel="0" collapsed="false">
      <c r="B14" s="13" t="s">
        <v>716</v>
      </c>
      <c r="C14" s="10" t="s">
        <v>717</v>
      </c>
    </row>
    <row r="15" customFormat="false" ht="15" hidden="false" customHeight="true" outlineLevel="0" collapsed="false">
      <c r="B15" s="13" t="s">
        <v>718</v>
      </c>
      <c r="C15" s="10" t="s">
        <v>719</v>
      </c>
    </row>
    <row r="16" customFormat="false" ht="15" hidden="false" customHeight="true" outlineLevel="0" collapsed="false">
      <c r="B16" s="13" t="s">
        <v>720</v>
      </c>
      <c r="C16" s="10" t="s">
        <v>721</v>
      </c>
    </row>
    <row r="17" customFormat="false" ht="15" hidden="false" customHeight="true" outlineLevel="0" collapsed="false">
      <c r="B17" s="13" t="s">
        <v>722</v>
      </c>
      <c r="C17" s="10" t="s">
        <v>723</v>
      </c>
    </row>
    <row r="18" customFormat="false" ht="23.25" hidden="false" customHeight="true" outlineLevel="0" collapsed="false">
      <c r="B18" s="13" t="s">
        <v>724</v>
      </c>
      <c r="C18" s="10" t="s">
        <v>725</v>
      </c>
    </row>
    <row r="19" customFormat="false" ht="15" hidden="false" customHeight="true" outlineLevel="0" collapsed="false">
      <c r="B19" s="13" t="s">
        <v>726</v>
      </c>
      <c r="C19" s="10" t="s">
        <v>727</v>
      </c>
    </row>
    <row r="20" customFormat="false" ht="15" hidden="false" customHeight="true" outlineLevel="0" collapsed="false">
      <c r="B20" s="13" t="s">
        <v>728</v>
      </c>
      <c r="C20" s="10" t="s">
        <v>729</v>
      </c>
    </row>
    <row r="21" customFormat="false" ht="15" hidden="false" customHeight="true" outlineLevel="0" collapsed="false">
      <c r="B21" s="13" t="s">
        <v>730</v>
      </c>
      <c r="C21" s="10" t="s">
        <v>731</v>
      </c>
    </row>
    <row r="22" customFormat="false" ht="15" hidden="false" customHeight="true" outlineLevel="0" collapsed="false">
      <c r="B22" s="13" t="s">
        <v>732</v>
      </c>
      <c r="C22" s="10" t="s">
        <v>733</v>
      </c>
    </row>
    <row r="23" customFormat="false" ht="15" hidden="false" customHeight="true" outlineLevel="0" collapsed="false">
      <c r="B23" s="13" t="s">
        <v>734</v>
      </c>
      <c r="C23" s="10" t="s">
        <v>735</v>
      </c>
    </row>
    <row r="24" customFormat="false" ht="15" hidden="false" customHeight="true" outlineLevel="0" collapsed="false">
      <c r="B24" s="13" t="s">
        <v>736</v>
      </c>
      <c r="C24" s="10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2026-10-06T18:59:47Z</dcterms:created>
  <dc:creator>openpyxl</dc:creator>
  <dc:description/>
  <dc:language>en-US</dc:language>
  <cp:lastModifiedBy/>
  <dcterms:modified xsi:type="dcterms:W3CDTF">2026-10-08T18:17:33Z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