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sobre toda la oferta en la LPU (el acto supera B/.70,000: Ley 419, art. 245);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representativo de las compras públicas indias vigentes x 1.4 (ajustado en cinco productos; ver la columna de fuente en Productos),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11-may-2027; E: si se repite su ciclo, la siguiente se licita entre dic-2026 y feb-2027, antes de tener registros, y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arts. 231 y 232);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pide el vencimiento de la ficha técnica o, si no lo fija,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exigida al entregar (18 meses si la ficha técnica no fija otra)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toda la oferta: el acto supera B/.70,000, Ley 419 art. 245)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tasa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316 (parentesco), de un abogado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10, TNMSC 2024 INR 23.48 por 100 y Assam 2025 INR 2.50 por 10; x1.4 = US$0.0034-0.0040; se usa 0.0038;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IF(AND(Y6=1,H6&gt;0),H6*p_mkt*Q6*p_rs_succ,0)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INR 5.72 y Assam 2025 INR 5.85 por 60 ml; a 120 ml se usa INR 10.2 (factor 1.75 por frasco más grande),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IF(AND(Y7=1,H7&gt;0),H7*p_mkt*Q7*p_rs_succ,0)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y TNMSC 2024 INR 30.81 por 6 (se usa INR 5.2 por tableta),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IF(AND(Y8=1,H8&gt;0),H8*p_mkt*Q8*p_rs_succ,0)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ml, escalado a 100 ml (x2.85 = INR 80),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IF(AND(Y9=1,H9&gt;0),H9*p_mkt*Q9*p_rs_succ,0)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y Delhi 2022 INR 15.48 por vial; se usa INR 13.5,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IF(AND(Y10=1,H10&gt;0),H10*p_mkt*Q10*p_rs_succ,0)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(PMBI 500 mg con agua INR 12.32); se usa INR 14.0,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IF(AND(Y11=1,H11&gt;0),H11*p_mkt*Q11*p_rs_succ,0)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y Delhi 2022 INR 4.59 por 10 ml; x1.4 = US$0.062; se usa 0.07;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IF(AND(Y12=1,H12&gt;0),H12*p_mkt*Q12*p_rs_succ,0)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precio al público de Jan Aushadhi INR 8.44 por 6 x0.42 = INR 0.59,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IF(AND(Y13=1,H13&gt;0),H13*p_mkt*Q13*p_rs_succ,0)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se usa US$0.42 con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IF(AND(Y14=1,H14&gt;0),H14*p_mkt*Q14*p_rs_succ,0)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IF(AND(Y15=1,H15&gt;0),H15*p_mkt*Q15*p_rs_succ,0)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tubo; x1.4 = US$0.087; se usa 0.10;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IF(AND(Y16=1,H16&gt;0),H16*p_mkt*Q16*p_rs_succ,0)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Assam 2025 INR 1.90 por 10 (PMBI INR 1.99; TNMSC INR 1.71),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IF(AND(Y17=1,H17&gt;0),H17*p_mkt*Q17*p_rs_succ,0)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Assam 2025 INR 2.30 por 10 (TNMSC INR 19.63 por 100; PMBI INR 3.49 por 15),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IF(AND(Y18=1,H18&gt;0),H18*p_mkt*Q18*p_rs_succ,0)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IF(AND(Y19=1,H19&gt;0),H19*p_mkt*Q19*p_rs_succ,0)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IF(AND(Y20=1,H20&gt;0),H20*p_mkt*Q20*p_rs_succ,0)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IF(AND(Y21=1,H21&gt;0),H21*p_mkt*Q21*p_rs_succ,0)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IF(AND(Y22=1,H22&gt;0),H22*p_mkt*Q22*p_rs_succ,0)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-56975.84524326061</v>
      </c>
    </row>
    <row r="10">
      <c r="B10" s="9" t="inlineStr">
        <is>
          <t>Utilidad neta año 3</t>
        </is>
      </c>
      <c r="C10" s="14" t="n">
        <v>-95850.47493266819</v>
      </c>
      <c r="D10" s="14" t="n">
        <v>8147.931080925095</v>
      </c>
      <c r="E10" s="14" t="n">
        <v>420522.072684139</v>
      </c>
    </row>
    <row r="11">
      <c r="B11" s="9" t="inlineStr">
        <is>
          <t>Utilidad neta año 5</t>
        </is>
      </c>
      <c r="C11" s="14" t="n">
        <v>-98157.46532324223</v>
      </c>
      <c r="D11" s="14" t="n">
        <v>13727.89111303723</v>
      </c>
      <c r="E11" s="14" t="n">
        <v>459281.2219203771</v>
      </c>
    </row>
    <row r="12">
      <c r="B12" s="9" t="inlineStr">
        <is>
          <t>Capital (aportes más fase 0)</t>
        </is>
      </c>
      <c r="C12" s="14" t="n">
        <v>591968.850148785</v>
      </c>
      <c r="D12" s="14" t="n">
        <v>392937.988920986</v>
      </c>
      <c r="E12" s="14" t="n">
        <v>196374.2135548402</v>
      </c>
    </row>
    <row r="13">
      <c r="B13" s="9" t="inlineStr">
        <is>
          <t>Mes del pico de capital</t>
        </is>
      </c>
      <c r="C13" s="28" t="n">
        <v>60</v>
      </c>
      <c r="D13" s="28" t="n">
        <v>45</v>
      </c>
      <c r="E13" s="28" t="n">
        <v>16</v>
      </c>
    </row>
    <row r="14">
      <c r="B14" s="9" t="inlineStr">
        <is>
          <t>VPN al 15% (conservador)</t>
        </is>
      </c>
      <c r="C14" s="14" t="n">
        <v>-435375.3149837715</v>
      </c>
      <c r="D14" s="14" t="n">
        <v>-198692.758921373</v>
      </c>
      <c r="E14" s="14" t="n">
        <v>600643.0239782698</v>
      </c>
    </row>
    <row r="15">
      <c r="B15" s="9" t="inlineStr">
        <is>
          <t>VPN al 30% (conservador)</t>
        </is>
      </c>
      <c r="C15" s="14" t="n">
        <v>-359335.1517915485</v>
      </c>
      <c r="D15" s="14" t="n">
        <v>-207445.2536953371</v>
      </c>
      <c r="E15" s="14" t="n">
        <v>297569.6445991886</v>
      </c>
    </row>
    <row r="16">
      <c r="B16" s="9" t="inlineStr">
        <is>
          <t>TIR (conservador)</t>
        </is>
      </c>
      <c r="C16" s="20" t="n">
        <v>-0.9484344690969371</v>
      </c>
      <c r="D16" s="20" t="n">
        <v>-0.1231665101213257</v>
      </c>
      <c r="E16" s="20" t="n">
        <v>0.7851602886537286</v>
      </c>
    </row>
    <row r="17">
      <c r="B17" s="9" t="inlineStr">
        <is>
          <t>Múltiplo del capital (conservador)</t>
        </is>
      </c>
      <c r="C17" s="44" t="n">
        <v>0.04577095031400461</v>
      </c>
      <c r="D17" s="44" t="n">
        <v>0.6332683846227841</v>
      </c>
      <c r="E17" s="44" t="n">
        <v>7.34528700211265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392937.988920986</v>
      </c>
      <c r="D25" s="14" t="n">
        <v>-198692.758921373</v>
      </c>
      <c r="E25" s="20" t="n">
        <v>-0.1231665101213257</v>
      </c>
      <c r="F25" s="44" t="n">
        <v>0.6332683846227841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350007.2215238342</v>
      </c>
      <c r="D26" s="14" t="n">
        <v>-183848.576768038</v>
      </c>
      <c r="E26" s="20" t="n">
        <v>-0.1343838259147169</v>
      </c>
      <c r="F26" s="44" t="n">
        <v>0.6029907493386156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375529.2595242536</v>
      </c>
      <c r="D27" s="14" t="n">
        <v>-176387.9087602243</v>
      </c>
      <c r="E27" s="20" t="n">
        <v>-0.08896553656540196</v>
      </c>
      <c r="F27" s="44" t="n">
        <v>0.7181857193050778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338690.6446214305</v>
      </c>
      <c r="D28" s="14" t="n">
        <v>-146256.8501143093</v>
      </c>
      <c r="E28" s="20" t="n">
        <v>-0.06100413229000412</v>
      </c>
      <c r="F28" s="44" t="n">
        <v>0.7982033397453905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351663.2053804731</v>
      </c>
      <c r="D29" s="14" t="n">
        <v>-185533.3936370161</v>
      </c>
      <c r="E29" s="20" t="n">
        <v>-0.1296408381471202</v>
      </c>
      <c r="F29" s="44" t="n">
        <v>0.6093320554025768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434212.7724614988</v>
      </c>
      <c r="D30" s="14" t="n">
        <v>-211852.12420573</v>
      </c>
      <c r="E30" s="20" t="n">
        <v>-0.1178646387509127</v>
      </c>
      <c r="F30" s="44" t="n">
        <v>0.6526541023917536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383615.0173086413</v>
      </c>
      <c r="D31" s="14" t="n">
        <v>-195869.8506610747</v>
      </c>
      <c r="E31" s="20" t="n">
        <v>-0.1003341367371343</v>
      </c>
      <c r="F31" s="44" t="n">
        <v>0.6744913185755171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384851.4003585788</v>
      </c>
      <c r="D32" s="14" t="n">
        <v>-172578.1196067595</v>
      </c>
      <c r="E32" s="20" t="n">
        <v>-0.07487329829830702</v>
      </c>
      <c r="F32" s="44" t="n">
        <v>0.7586201119703216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391025.6836986788</v>
      </c>
      <c r="D33" s="14" t="n">
        <v>-147736.2054889357</v>
      </c>
      <c r="E33" s="20" t="n">
        <v>-0.01487380808194994</v>
      </c>
      <c r="F33" s="44" t="n">
        <v>0.9450415288698631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254121.9580146239</v>
      </c>
      <c r="D34" s="14" t="n">
        <v>-99076.58709069903</v>
      </c>
      <c r="E34" s="20" t="n">
        <v>-0.04249324295312795</v>
      </c>
      <c r="F34" s="44" t="n">
        <v>0.8594745024144518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207119.2828146239</v>
      </c>
      <c r="D35" s="14" t="n">
        <v>-54231.91036574621</v>
      </c>
      <c r="E35" s="20" t="n">
        <v>0.03463550243249025</v>
      </c>
      <c r="F35" s="44" t="n">
        <v>1.129179385741512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201666.5274592238</v>
      </c>
      <c r="D36" s="14" t="n">
        <v>4663.268356379209</v>
      </c>
      <c r="E36" s="20" t="n">
        <v>0.1584053222761093</v>
      </c>
      <c r="F36" s="44" t="n">
        <v>1.720920304966544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417815.4889209859</v>
      </c>
      <c r="D37" s="14" t="n">
        <v>-222342.4213818359</v>
      </c>
      <c r="E37" s="20" t="n">
        <v>-0.1364609661570767</v>
      </c>
      <c r="F37" s="44" t="n">
        <v>0.5955624243216509</v>
      </c>
      <c r="G37" s="14" t="n">
        <v>176158.7977303777</v>
      </c>
    </row>
    <row r="38">
      <c r="B38" s="12" t="inlineStr">
        <is>
          <t>Solo los 4 productos que pagan su registro</t>
        </is>
      </c>
      <c r="C38" s="14" t="n">
        <v>346807.6807167808</v>
      </c>
      <c r="D38" s="14" t="n">
        <v>-157705.836139263</v>
      </c>
      <c r="E38" s="20" t="n">
        <v>-0.1064771796749633</v>
      </c>
      <c r="F38" s="44" t="n">
        <v>0.6913624721566353</v>
      </c>
      <c r="G38" s="14" t="n">
        <v>133525.4698313464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0.98995</v>
      </c>
      <c r="G5" s="20" t="n">
        <v>0.98915</v>
      </c>
      <c r="H5" s="14" t="n">
        <v>-241526.7622155904</v>
      </c>
      <c r="I5" s="44" t="n">
        <v>0.3440803101411151</v>
      </c>
      <c r="J5" s="14" t="n">
        <v>403969.9119002493</v>
      </c>
      <c r="K5" s="14" t="n">
        <v>512914.5984385405</v>
      </c>
      <c r="L5" s="14" t="n">
        <v>580249.1994396027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0.99205</v>
      </c>
      <c r="G6" s="20" t="n">
        <v>0.7883</v>
      </c>
      <c r="H6" s="14" t="n">
        <v>-161936.8206150695</v>
      </c>
      <c r="I6" s="44" t="n">
        <v>0.174679404790704</v>
      </c>
      <c r="J6" s="14" t="n">
        <v>277612.2682818624</v>
      </c>
      <c r="K6" s="14" t="n">
        <v>472130.2679514411</v>
      </c>
      <c r="L6" s="14" t="n">
        <v>549283.6979399872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0.97695</v>
      </c>
      <c r="G7" s="20" t="n">
        <v>0.8555</v>
      </c>
      <c r="H7" s="14" t="n">
        <v>-173847.8846222783</v>
      </c>
      <c r="I7" s="44" t="n">
        <v>0.230564323018647</v>
      </c>
      <c r="J7" s="14" t="n">
        <v>333236.1750197956</v>
      </c>
      <c r="K7" s="14" t="n">
        <v>465974.9616357227</v>
      </c>
      <c r="L7" s="14" t="n">
        <v>529575.1878087877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0.93165</v>
      </c>
      <c r="G8" s="20" t="n">
        <v>0.8075</v>
      </c>
      <c r="H8" s="14" t="n">
        <v>-122193.2434093025</v>
      </c>
      <c r="I8" s="44" t="n">
        <v>0.2733155935891806</v>
      </c>
      <c r="J8" s="14" t="n">
        <v>252401.901965895</v>
      </c>
      <c r="K8" s="14" t="n">
        <v>371373.9411225899</v>
      </c>
      <c r="L8" s="14" t="n">
        <v>427004.6966737359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0.6506999999999999</v>
      </c>
      <c r="G10" s="20" t="n">
        <v>0.5206499999999999</v>
      </c>
      <c r="H10" s="14" t="n">
        <v>-91177.33801870118</v>
      </c>
      <c r="I10" s="44" t="n">
        <v>0.7843474134698976</v>
      </c>
      <c r="J10" s="14" t="n">
        <v>276770.3379435123</v>
      </c>
      <c r="K10" s="14" t="n">
        <v>357822.6206962983</v>
      </c>
      <c r="L10" s="14" t="n">
        <v>404224.7741828827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0.8207</v>
      </c>
      <c r="G11" s="20" t="n">
        <v>0.69235</v>
      </c>
      <c r="H11" s="14" t="n">
        <v>-88105.31315460615</v>
      </c>
      <c r="I11" s="44" t="n">
        <v>0.350534876772312</v>
      </c>
      <c r="J11" s="14" t="n">
        <v>200522.709050072</v>
      </c>
      <c r="K11" s="14" t="n">
        <v>309097.2732595108</v>
      </c>
      <c r="L11" s="14" t="n">
        <v>360578.5974124155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0.4837</v>
      </c>
      <c r="G12" s="20" t="n">
        <v>0.3548</v>
      </c>
      <c r="H12" s="14" t="n">
        <v>-54632.98149840152</v>
      </c>
      <c r="I12" s="44" t="n">
        <v>1.030968418784095</v>
      </c>
      <c r="J12" s="14" t="n">
        <v>227974.6991998056</v>
      </c>
      <c r="K12" s="14" t="n">
        <v>305022.8707870186</v>
      </c>
      <c r="L12" s="14" t="n">
        <v>349159.3558588034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0.94335</v>
      </c>
      <c r="G13" s="20" t="n">
        <v>0.8192</v>
      </c>
      <c r="H13" s="14" t="n">
        <v>-134244.3090683899</v>
      </c>
      <c r="I13" s="44" t="n">
        <v>0.3404908782335647</v>
      </c>
      <c r="J13" s="14" t="n">
        <v>304425.9866690554</v>
      </c>
      <c r="K13" s="14" t="n">
        <v>447792.3349017084</v>
      </c>
      <c r="L13" s="14" t="n">
        <v>513132.9910763496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0.9560999999999999</v>
      </c>
      <c r="G14" s="20" t="n">
        <v>0.43115</v>
      </c>
      <c r="H14" s="14" t="n">
        <v>-67456.73441016677</v>
      </c>
      <c r="I14" s="44" t="n">
        <v>0</v>
      </c>
      <c r="J14" s="14" t="n">
        <v>260841.8658228375</v>
      </c>
      <c r="K14" s="14" t="n">
        <v>372063.1097380665</v>
      </c>
      <c r="L14" s="14" t="n">
        <v>426928.0466689822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68018.42197487189</v>
      </c>
      <c r="D19" s="14" t="n">
        <v>97363.87266841835</v>
      </c>
      <c r="E19" s="14" t="n">
        <v>-40438.78944855986</v>
      </c>
      <c r="F19" s="20" t="n">
        <v>0.9908</v>
      </c>
      <c r="G19" s="14" t="n">
        <v>-21429.05816790805</v>
      </c>
    </row>
    <row r="20">
      <c r="B20" s="12" t="inlineStr">
        <is>
          <t>B. Por etapas, mismos términos</t>
        </is>
      </c>
      <c r="C20" s="14" t="n">
        <v>47008.72846503975</v>
      </c>
      <c r="D20" s="14" t="n">
        <v>92296.02758559588</v>
      </c>
      <c r="E20" s="14" t="n">
        <v>-26380.45891560251</v>
      </c>
      <c r="F20" s="20" t="n">
        <v>0.99275</v>
      </c>
      <c r="G20" s="14" t="n">
        <v>-1333.556532785007</v>
      </c>
    </row>
    <row r="21">
      <c r="B21" s="12" t="inlineStr">
        <is>
          <t>C. Por etapas con términos negociados</t>
        </is>
      </c>
      <c r="C21" s="14" t="n">
        <v>56269.83590610274</v>
      </c>
      <c r="D21" s="14" t="n">
        <v>88978.27423035786</v>
      </c>
      <c r="E21" s="14" t="n">
        <v>-27045.89284831961</v>
      </c>
      <c r="F21" s="20" t="n">
        <v>0.97865</v>
      </c>
      <c r="G21" s="14" t="n">
        <v>-1545.09750526303</v>
      </c>
    </row>
    <row r="22">
      <c r="B22" s="12" t="inlineStr">
        <is>
          <t>D. Por etapas; la fábrica paga registros y da crédito</t>
        </is>
      </c>
      <c r="C22" s="14" t="n">
        <v>42752.98090071263</v>
      </c>
      <c r="D22" s="14" t="n">
        <v>71900.89932785562</v>
      </c>
      <c r="E22" s="14" t="n">
        <v>-18183.61347526393</v>
      </c>
      <c r="F22" s="20" t="n">
        <v>0.9360000000000001</v>
      </c>
      <c r="G22" s="14" t="n">
        <v>-1123.743066108145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46840.95424086895</v>
      </c>
      <c r="D24" s="14" t="n">
        <v>68090.77903400685</v>
      </c>
      <c r="E24" s="14" t="n">
        <v>-5844.529292587128</v>
      </c>
      <c r="F24" s="20" t="n">
        <v>0.6625</v>
      </c>
      <c r="G24" s="14" t="n">
        <v>17968.78498919589</v>
      </c>
    </row>
    <row r="25">
      <c r="B25" s="12" t="inlineStr">
        <is>
          <t>D con un socio como coordinador sin sueldo</t>
        </is>
      </c>
      <c r="C25" s="14" t="n">
        <v>34118.04034298623</v>
      </c>
      <c r="D25" s="14" t="n">
        <v>60776.68794187457</v>
      </c>
      <c r="E25" s="14" t="n">
        <v>-10478.32917369867</v>
      </c>
      <c r="F25" s="20" t="n">
        <v>0.8300999999999999</v>
      </c>
      <c r="G25" s="14" t="n">
        <v>5941.696201418631</v>
      </c>
    </row>
    <row r="26">
      <c r="B26" s="12" t="inlineStr">
        <is>
          <t>D más sistema nervioso y coordinador sin sueldo</t>
        </is>
      </c>
      <c r="C26" s="14" t="n">
        <v>38713.8915504849</v>
      </c>
      <c r="D26" s="14" t="n">
        <v>58891.03006631183</v>
      </c>
      <c r="E26" s="14" t="n">
        <v>2420.584325522921</v>
      </c>
      <c r="F26" s="20" t="n">
        <v>0.4926</v>
      </c>
      <c r="G26" s="14" t="n">
        <v>27957.53571995132</v>
      </c>
    </row>
    <row r="27">
      <c r="B27" s="12" t="inlineStr">
        <is>
          <t>D con colateral de 100% de la fianza</t>
        </is>
      </c>
      <c r="C27" s="14" t="n">
        <v>51469.20735156454</v>
      </c>
      <c r="D27" s="14" t="n">
        <v>86207.70283543823</v>
      </c>
      <c r="E27" s="14" t="n">
        <v>-19361.12055964272</v>
      </c>
      <c r="F27" s="20" t="n">
        <v>0.947</v>
      </c>
      <c r="G27" s="14" t="n">
        <v>-1212.926316191447</v>
      </c>
    </row>
    <row r="28">
      <c r="B28" s="12" t="inlineStr">
        <is>
          <t>D con prueba de precio estricta en la fase 0 (1.1 veces la referencia)</t>
        </is>
      </c>
      <c r="C28" s="14" t="n">
        <v>44155.24365537205</v>
      </c>
      <c r="D28" s="14" t="n">
        <v>71879.40164983823</v>
      </c>
      <c r="E28" s="14" t="n">
        <v>-10101.26665813037</v>
      </c>
      <c r="F28" s="20" t="n">
        <v>0.95885</v>
      </c>
      <c r="G28" s="14" t="n">
        <v>-937.5842042166602</v>
      </c>
    </row>
    <row r="29">
      <c r="B29" s="12" t="inlineStr">
        <is>
          <t>D con Rutul Patel aportando 70% del efectivo</t>
        </is>
      </c>
      <c r="C29" s="14" t="n">
        <v>26199.27450405085</v>
      </c>
      <c r="D29" s="14" t="n">
        <v>43752.01367669849</v>
      </c>
      <c r="E29" s="14" t="n">
        <v>-2909.686902555771</v>
      </c>
      <c r="F29" s="20" t="n">
        <v>0.7129</v>
      </c>
      <c r="G29" s="14" t="n">
        <v>17536.87206075913</v>
      </c>
    </row>
    <row r="30">
      <c r="B30" s="12" t="inlineStr">
        <is>
          <t>D con Rutul Patel aportando 80% del efectivo</t>
        </is>
      </c>
      <c r="C30" s="14" t="n">
        <v>17889.13041669067</v>
      </c>
      <c r="D30" s="14" t="n">
        <v>29653.16765019082</v>
      </c>
      <c r="E30" s="14" t="n">
        <v>4727.276383798304</v>
      </c>
      <c r="F30" s="20" t="n">
        <v>0.60555</v>
      </c>
      <c r="G30" s="14" t="n">
        <v>29399.0204954875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B/.-198,693. Capital base: B/.392,938.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-328447.4134030846</v>
      </c>
      <c r="F5" s="14" t="n">
        <v>-138267.7788415737</v>
      </c>
      <c r="G5" s="14">
        <f>F5-E5</f>
        <v/>
      </c>
      <c r="H5" s="14" t="n">
        <v>546099.5265205839</v>
      </c>
      <c r="I5" s="14" t="n">
        <v>329838.4049414305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-223892.3336772754</v>
      </c>
      <c r="F6" s="14" t="n">
        <v>-169432.5379766415</v>
      </c>
      <c r="G6" s="14">
        <f>F6-E6</f>
        <v/>
      </c>
      <c r="H6" s="14" t="n">
        <v>368864.9604528522</v>
      </c>
      <c r="I6" s="14" t="n">
        <v>372190.8062493597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-224421.4160726953</v>
      </c>
      <c r="F7" s="14" t="n">
        <v>-172355.4761291275</v>
      </c>
      <c r="G7" s="14">
        <f>F7-E7</f>
        <v/>
      </c>
      <c r="H7" s="14" t="n">
        <v>409187.2656907371</v>
      </c>
      <c r="I7" s="14" t="n">
        <v>380389.9947391875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-226885.797092441</v>
      </c>
      <c r="F8" s="14" t="n">
        <v>-176193.4799382402</v>
      </c>
      <c r="G8" s="14">
        <f>F8-E8</f>
        <v/>
      </c>
      <c r="H8" s="14" t="n">
        <v>408864.0591253622</v>
      </c>
      <c r="I8" s="14" t="n">
        <v>383897.7727953219</v>
      </c>
    </row>
    <row r="9">
      <c r="B9" s="12" t="inlineStr">
        <is>
          <t>Colateral en efectivo que pide la aseguradora o el banco (% de la fianza)</t>
        </is>
      </c>
      <c r="C9" s="9" t="n">
        <v>1</v>
      </c>
      <c r="D9" s="9" t="n">
        <v>0.25</v>
      </c>
      <c r="E9" s="14" t="n">
        <v>-211852.12420573</v>
      </c>
      <c r="F9" s="14" t="n">
        <v>-172572.5748813284</v>
      </c>
      <c r="G9" s="14">
        <f>F9-E9</f>
        <v/>
      </c>
      <c r="H9" s="14" t="n">
        <v>434212.7724614988</v>
      </c>
      <c r="I9" s="14" t="n">
        <v>312118.0112346699</v>
      </c>
    </row>
    <row r="10">
      <c r="B10" s="12" t="inlineStr">
        <is>
          <t>Parte de la cantidad de la compra conjunta de 2023 que se toma como demanda del MINSA</t>
        </is>
      </c>
      <c r="C10" s="9" t="n">
        <v>0</v>
      </c>
      <c r="D10" s="9" t="n">
        <v>0.5</v>
      </c>
      <c r="E10" s="14" t="n">
        <v>-210168.0876932347</v>
      </c>
      <c r="F10" s="14" t="n">
        <v>-172578.1196067595</v>
      </c>
      <c r="G10" s="14">
        <f>F10-E10</f>
        <v/>
      </c>
      <c r="H10" s="14" t="n">
        <v>398786.3037511055</v>
      </c>
      <c r="I10" s="14" t="n">
        <v>384851.4003585788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-216865.7144601127</v>
      </c>
      <c r="F11" s="14" t="n">
        <v>-186584.5816045638</v>
      </c>
      <c r="G11" s="14">
        <f>F11-E11</f>
        <v/>
      </c>
      <c r="H11" s="14" t="n">
        <v>366102.8738230804</v>
      </c>
      <c r="I11" s="14" t="n">
        <v>456993.2159546945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-185654.2314283854</v>
      </c>
      <c r="F12" s="14" t="n">
        <v>-212540.7872288765</v>
      </c>
      <c r="G12" s="14">
        <f>F12-E12</f>
        <v/>
      </c>
      <c r="H12" s="14" t="n">
        <v>319237.5369424171</v>
      </c>
      <c r="I12" s="14" t="n">
        <v>467461.204451691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-211575.2973605898</v>
      </c>
      <c r="F13" s="14" t="n">
        <v>-189096.4365311863</v>
      </c>
      <c r="G13" s="14">
        <f>F13-E13</f>
        <v/>
      </c>
      <c r="H13" s="14" t="n">
        <v>391110.2780902667</v>
      </c>
      <c r="I13" s="14" t="n">
        <v>394437.4237585106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-214445.9545827128</v>
      </c>
      <c r="F14" s="14" t="n">
        <v>-193003.3384886285</v>
      </c>
      <c r="G14" s="14">
        <f>F14-E14</f>
        <v/>
      </c>
      <c r="H14" s="14" t="n">
        <v>447565.7161035886</v>
      </c>
      <c r="I14" s="14" t="n">
        <v>374513.0951764134</v>
      </c>
    </row>
    <row r="15">
      <c r="B15" s="12" t="inlineStr">
        <is>
          <t>Precio de oferta descentralizado frente al precio ponderado actual</t>
        </is>
      </c>
      <c r="C15" s="9" t="n">
        <v>0.8</v>
      </c>
      <c r="D15" s="9" t="n">
        <v>0.95</v>
      </c>
      <c r="E15" s="14" t="n">
        <v>-210990.939067518</v>
      </c>
      <c r="F15" s="14" t="n">
        <v>-191914.6191428568</v>
      </c>
      <c r="G15" s="14">
        <f>F15-E15</f>
        <v/>
      </c>
      <c r="H15" s="14" t="n">
        <v>403653.6489255751</v>
      </c>
      <c r="I15" s="14" t="n">
        <v>388683.617572016</v>
      </c>
    </row>
    <row r="16">
      <c r="B16" s="12" t="inlineStr">
        <is>
          <t>Factor de mercado (demanda futura frente a 2025-2026)</t>
        </is>
      </c>
      <c r="C16" s="9" t="n">
        <v>0.75</v>
      </c>
      <c r="D16" s="9" t="n">
        <v>1</v>
      </c>
      <c r="E16" s="14" t="n">
        <v>-210044.6940082464</v>
      </c>
      <c r="F16" s="14" t="n">
        <v>-191303.1413229703</v>
      </c>
      <c r="G16" s="14">
        <f>F16-E16</f>
        <v/>
      </c>
      <c r="H16" s="14" t="n">
        <v>376847.7379807483</v>
      </c>
      <c r="I16" s="14" t="n">
        <v>404078.5408787696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-206436.5260299644</v>
      </c>
      <c r="F17" s="14" t="n">
        <v>-190948.9918127817</v>
      </c>
      <c r="G17" s="14">
        <f>F17-E17</f>
        <v/>
      </c>
      <c r="H17" s="14" t="n">
        <v>401437.9889209859</v>
      </c>
      <c r="I17" s="14" t="n">
        <v>384437.9889209859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-207129.1996762248</v>
      </c>
      <c r="F18" s="14" t="n">
        <v>-193201.1271640944</v>
      </c>
      <c r="G18" s="14">
        <f>F18-E18</f>
        <v/>
      </c>
      <c r="H18" s="14" t="n">
        <v>371971.4999129465</v>
      </c>
      <c r="I18" s="14" t="n">
        <v>407218.9174645216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-206465.3745804783</v>
      </c>
      <c r="F19" s="14" t="n">
        <v>-193835.2187915406</v>
      </c>
      <c r="G19" s="14">
        <f>F19-E19</f>
        <v/>
      </c>
      <c r="H19" s="14" t="n">
        <v>401452.2305618773</v>
      </c>
      <c r="I19" s="14" t="n">
        <v>387616.5878954289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-198692.758921373</v>
      </c>
      <c r="F20" s="14" t="n">
        <v>-189024.9765651919</v>
      </c>
      <c r="G20" s="14">
        <f>F20-E20</f>
        <v/>
      </c>
      <c r="H20" s="14" t="n">
        <v>392937.988920986</v>
      </c>
      <c r="I20" s="14" t="n">
        <v>364985.2454744953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-203280.4334356618</v>
      </c>
      <c r="F21" s="14" t="n">
        <v>-194105.0844070842</v>
      </c>
      <c r="G21" s="14">
        <f>F21-E21</f>
        <v/>
      </c>
      <c r="H21" s="14" t="n">
        <v>395277.3148530337</v>
      </c>
      <c r="I21" s="14" t="n">
        <v>390598.6629889381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-204202.9471275882</v>
      </c>
      <c r="F22" s="14" t="n">
        <v>-195726.7662051287</v>
      </c>
      <c r="G22" s="14">
        <f>F22-E22</f>
        <v/>
      </c>
      <c r="H22" s="14" t="n">
        <v>401217.0456048609</v>
      </c>
      <c r="I22" s="14" t="n">
        <v>388439.9632285736</v>
      </c>
    </row>
    <row r="23">
      <c r="B23" s="12" t="inlineStr">
        <is>
          <t>Multiplicador del costo logístico (flete LCL, destino, corredor, seguro)</t>
        </is>
      </c>
      <c r="C23" s="9" t="n">
        <v>2.2</v>
      </c>
      <c r="D23" s="9" t="n">
        <v>0.8</v>
      </c>
      <c r="E23" s="14" t="n">
        <v>-192682.3786853023</v>
      </c>
      <c r="F23" s="14" t="n">
        <v>-185695.9571421767</v>
      </c>
      <c r="G23" s="14">
        <f>F23-E23</f>
        <v/>
      </c>
      <c r="H23" s="14" t="n">
        <v>294539.9275341209</v>
      </c>
      <c r="I23" s="14" t="n">
        <v>399212.6039981513</v>
      </c>
    </row>
    <row r="24">
      <c r="B24" s="12" t="inlineStr">
        <is>
          <t>Mes en que salen los registros sanitarios (presentados en el mes 3)</t>
        </is>
      </c>
      <c r="C24" s="9" t="n">
        <v>12</v>
      </c>
      <c r="D24" s="9" t="n">
        <v>7</v>
      </c>
      <c r="E24" s="14" t="n">
        <v>-202792.0710730963</v>
      </c>
      <c r="F24" s="14" t="n">
        <v>-195831.0546674679</v>
      </c>
      <c r="G24" s="14">
        <f>F24-E24</f>
        <v/>
      </c>
      <c r="H24" s="14" t="n">
        <v>399881.3891154018</v>
      </c>
      <c r="I24" s="14" t="n">
        <v>388351.0893419504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-201681.1217384212</v>
      </c>
      <c r="F25" s="14" t="n">
        <v>-196302.0686677346</v>
      </c>
      <c r="G25" s="14">
        <f>F25-E25</f>
        <v/>
      </c>
      <c r="H25" s="14" t="n">
        <v>395874.0087297743</v>
      </c>
      <c r="I25" s="14" t="n">
        <v>390589.1730739553</v>
      </c>
    </row>
    <row r="26">
      <c r="B26" s="12" t="inlineStr">
        <is>
          <t>Anticipo a la fábrica al colocar la orden</t>
        </is>
      </c>
      <c r="C26" s="9" t="n">
        <v>1</v>
      </c>
      <c r="D26" s="9" t="n">
        <v>0</v>
      </c>
      <c r="E26" s="14" t="n">
        <v>-201103.2848507945</v>
      </c>
      <c r="F26" s="14" t="n">
        <v>-197659.6763801925</v>
      </c>
      <c r="G26" s="14">
        <f>F26-E26</f>
        <v/>
      </c>
      <c r="H26" s="14" t="n">
        <v>399933.9680260378</v>
      </c>
      <c r="I26" s="14" t="n">
        <v>389939.712161678</v>
      </c>
    </row>
    <row r="27">
      <c r="B27" s="12" t="inlineStr">
        <is>
          <t>Mes en que podría arrancar el primer contrato centralizado (calendario de la LPU)</t>
        </is>
      </c>
      <c r="C27" s="9" t="n">
        <v>27</v>
      </c>
      <c r="D27" s="9" t="n">
        <v>14</v>
      </c>
      <c r="E27" s="14" t="n">
        <v>-198702.4909615664</v>
      </c>
      <c r="F27" s="14" t="n">
        <v>-195869.8506610747</v>
      </c>
      <c r="G27" s="14">
        <f>F27-E27</f>
        <v/>
      </c>
      <c r="H27" s="14" t="n">
        <v>408914.1351236388</v>
      </c>
      <c r="I27" s="14" t="n">
        <v>383615.0173086413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(pliego de la LPU: vencimiento de la ficha técnica; 18 meses si no lo fija)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exigida al entregar (18 meses si la ficha técnica no fija otra)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2026-10-14T22:50:25Z</dcterms:created>
  <dcterms:modified xmlns:dcterms="http://purl.org/dc/terms/" xmlns:xsi="http://www.w3.org/2001/XMLSchema-instance" xsi:type="dcterms:W3CDTF">2026-10-14T22:50:25Z</dcterms:modified>
</cp:coreProperties>
</file>