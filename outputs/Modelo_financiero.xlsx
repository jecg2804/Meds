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SKUs" sheetId="3" state="visible" r:id="rId3"/>
    <sheet xmlns:r="http://schemas.openxmlformats.org/officeDocument/2006/relationships" name="Mensual" sheetId="4" state="visible" r:id="rId4"/>
    <sheet xmlns:r="http://schemas.openxmlformats.org/officeDocument/2006/relationships" name="Anual" sheetId="5" state="visible" r:id="rId5"/>
    <sheet xmlns:r="http://schemas.openxmlformats.org/officeDocument/2006/relationships" name="Valoración" sheetId="6" state="visible" r:id="rId6"/>
    <sheet xmlns:r="http://schemas.openxmlformats.org/officeDocument/2006/relationships" name="Escenarios" sheetId="7" state="visible" r:id="rId7"/>
    <sheet xmlns:r="http://schemas.openxmlformats.org/officeDocument/2006/relationships" name="Simulación" sheetId="8" state="visible" r:id="rId8"/>
    <sheet xmlns:r="http://schemas.openxmlformats.org/officeDocument/2006/relationships" name="Sensibilidad" sheetId="9" state="visible" r:id="rId9"/>
    <sheet xmlns:r="http://schemas.openxmlformats.org/officeDocument/2006/relationships" name="Vida útil" sheetId="10" state="visible" r:id="rId10"/>
    <sheet xmlns:r="http://schemas.openxmlformats.org/officeDocument/2006/relationships" name="Fuentes" sheetId="11" state="visible" r:id="rId11"/>
  </sheets>
  <definedNames>
    <definedName name="p_sc">Supuestos!$B$3</definedName>
    <definedName name="p_sl">Supuestos!$B$4</definedName>
    <definedName name="p_reg_m">Supuestos!$G$7</definedName>
    <definedName name="p_lead_days">Supuestos!$G$8</definedName>
    <definedName name="p_ship_m">Supuestos!$G$9</definedName>
    <definedName name="p_ramp_m">Supuestos!$G$10</definedName>
    <definedName name="p_cen_start">Supuestos!$G$11</definedName>
    <definedName name="p_mkt">Supuestos!$G$12</definedName>
    <definedName name="p_share_dec">Supuestos!$G$13</definedName>
    <definedName name="p_pwin_cen">Supuestos!$G$14</definedName>
    <definedName name="p_realiz">Supuestos!$G$15</definedName>
    <definedName name="p_realiz_minsa">Supuestos!$G$16</definedName>
    <definedName name="p_minsa_occ">Supuestos!$G$17</definedName>
    <definedName name="p_cc_w">Supuestos!$G$18</definedName>
    <definedName name="p_pf_dec">Supuestos!$G$19</definedName>
    <definedName name="p_pf_cen">Supuestos!$G$20</definedName>
    <definedName name="p_erosion">Supuestos!$G$21</definedName>
    <definedName name="p_gm_dec">Supuestos!$G$22</definedName>
    <definedName name="p_gm_cen">Supuestos!$G$23</definedName>
    <definedName name="p_sup_idx">Supuestos!$G$24</definedName>
    <definedName name="p_pack">Supuestos!$G$25</definedName>
    <definedName name="p_log_mult">Supuestos!$G$26</definedName>
    <definedName name="p_dist">Supuestos!$G$27</definedName>
    <definedName name="p_penal">Supuestos!$G$28</definedName>
    <definedName name="p_expiry">Supuestos!$G$29</definedName>
    <definedName name="p_baddebt">Supuestos!$G$30</definedName>
    <definedName name="p_dso_days">Supuestos!$G$31</definedName>
    <definedName name="p_cover_m">Supuestos!$G$32</definedName>
    <definedName name="p_cen_stock_m">Supuestos!$G$33</definedName>
    <definedName name="p_adv">Supuestos!$G$34</definedName>
    <definedName name="p_credit_days">Supuestos!$G$35</definedName>
    <definedName name="p_bond_css">Supuestos!$G$36</definedName>
    <definedName name="p_bond_minsa">Supuestos!$G$37</definedName>
    <definedName name="p_collat">Supuestos!$G$38</definedName>
    <definedName name="p_bond_prem">Supuestos!$G$39</definedName>
    <definedName name="p_bid_bond">Supuestos!$G$40</definedName>
    <definedName name="p_bid_m">Supuestos!$G$41</definedName>
    <definedName name="p_mincash_m">Supuestos!$G$42</definedName>
    <definedName name="p_rs_off">Supuestos!$G$43</definedName>
    <definedName name="p_rs_iea">Supuestos!$G$44</definedName>
    <definedName name="p_rs_law">Supuestos!$G$45</definedName>
    <definedName name="p_rs_smp">Supuestos!$G$46</definedName>
    <definedName name="p_rs_trad">Supuestos!$G$47</definedName>
    <definedName name="p_rs_succ">Supuestos!$G$48</definedName>
    <definedName name="p_postreg">Supuestos!$G$49</definedName>
    <definedName name="p_n2">Supuestos!$G$50</definedName>
    <definedName name="p_m2">Supuestos!$G$51</definedName>
    <definedName name="p_rel2">Supuestos!$G$52</definedName>
    <definedName name="p_fact_share">Supuestos!$G$53</definedName>
    <definedName name="p_fact_cost">Supuestos!$G$54</definedName>
    <definedName name="p_stop_det">Supuestos!$G$55</definedName>
    <definedName name="p_inv_liq">Supuestos!$G$56</definedName>
    <definedName name="p_isr">Supuestos!$G$57</definedName>
    <definedName name="p_divtax">Supuestos!$G$58</definedName>
    <definedName name="p_aviso">Supuestos!$G$59</definedName>
    <definedName name="p_oncost">Supuestos!$G$60</definedName>
    <definedName name="p_itbms_srv">Supuestos!$G$61</definedName>
    <definedName name="p_payout">Supuestos!$G$62</definedName>
    <definedName name="p_disc">Supuestos!$G$63</definedName>
    <definedName name="p_recov">Supuestos!$G$64</definedName>
    <definedName name="p_gc_mult">Supuestos!$G$65</definedName>
    <definedName name="p_patel_eq">Supuestos!$G$66</definedName>
    <definedName name="p_patel_cash">Supuestos!$G$67</definedName>
    <definedName name="p_jaime_frac">Supuestos!$G$68</definedName>
    <definedName name="p_zy_markup">Supuestos!$G$69</definedName>
    <definedName name="p_bond_tail_css">Supuestos!$G$70</definedName>
    <definedName name="p_bond_tail_minsa">Supuestos!$G$71</definedName>
    <definedName name="p_forfeit_frac">Supuestos!$G$72</definedName>
    <definedName name="f_used">Supuestos!$G$76:$G$86</definedName>
    <definedName name="f_start">Supuestos!$I$76:$I$86</definedName>
    <definedName name="f_total">Supuestos!$G$87</definedName>
    <definedName name="u_used">Supuestos!$G$91:$G$102</definedName>
    <definedName name="u_month">Supuestos!$C$91:$C$102</definedName>
    <definedName name="c_phase0">Supuestos!$G$104</definedName>
    <definedName name="c_annual">Supuestos!$G$110</definedName>
    <definedName name="c_lic_m">Supuestos!$G$113</definedName>
    <definedName name="c_rs_pay_m">Supuestos!$G$114</definedName>
    <definedName name="c_lead_m">Supuestos!$G$115</definedName>
    <definedName name="c_dso_m">Supuestos!$G$116</definedName>
    <definedName name="c_credit_m">Supuestos!$G$117</definedName>
    <definedName name="c_ship_m">Supuestos!$G$118</definedName>
    <definedName name="c_reg_m">Supuestos!$G$119</definedName>
    <definedName name="c_first_dec">Supuestos!$G$120</definedName>
    <definedName name="c_cen_start">Supuestos!$G$121</definedName>
    <definedName name="c_rt">Supuestos!$G$122</definedName>
    <definedName name="c_m2">Supuestos!$G$123</definedName>
    <definedName name="c_first_dec2">Supuestos!$G$124</definedName>
    <definedName name="c_c2_lpu">Supuestos!$G$125</definedName>
    <definedName name="c_c2_minsa">Supuestos!$G$126</definedName>
    <definedName name="c_n1">Supuestos!$G$127</definedName>
    <definedName name="c_k2">Supuestos!$G$128</definedName>
    <definedName name="c_rs_unit">Supuestos!$G$129</definedName>
    <definedName name="c_bid_m">Supuestos!$G$130</definedName>
    <definedName name="c_n_reg1">Supuestos!$G$131</definedName>
    <definedName name="c_n_reg2">Supuestos!$G$132</definedName>
    <definedName name="s_Rd">SKUs!$AC$23:$AD$23</definedName>
    <definedName name="s_Rd3">SKUs!$AC$23</definedName>
    <definedName name="s_Rd4">SKUs!$AD$23</definedName>
    <definedName name="s_Rc1">SKUs!$AE$23</definedName>
    <definedName name="s_Rc2">SKUs!$AF$23</definedName>
    <definedName name="s_Rd3k">SKUs!$AG$23</definedName>
    <definedName name="s_Rd4k">SKUs!$AH$23</definedName>
    <definedName name="s_Rc1k">SKUs!$AI$23</definedName>
    <definedName name="s_Rc2k">SKUs!$AJ$23</definedName>
    <definedName name="s_fob_share">SKUs!$AM$23</definedName>
    <definedName name="s_rev_exp">SKUs!$AK$23</definedName>
    <definedName name="s_gp_exp">SKUs!$AL$23</definedName>
    <definedName name="s_bid">SKUs!$AN$23</definedName>
    <definedName name="m_mes">Mensual!$D$3:$BK$3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0.0000;(0.0000);&quot;-&quot;"/>
    <numFmt numFmtId="167" formatCode="0.000"/>
    <numFmt numFmtId="168" formatCode="0.00&quot;x&quot;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6" fillId="2" borderId="0" pivotButton="0" quotePrefix="0" xfId="0"/>
    <xf numFmtId="164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pivotButton="0" quotePrefix="0" xfId="0"/>
    <xf numFmtId="2" fontId="6" fillId="2" borderId="0" pivotButton="0" quotePrefix="0" xfId="0"/>
    <xf numFmtId="2" fontId="4" fillId="0" borderId="0" pivotButton="0" quotePrefix="0" xfId="0"/>
    <xf numFmtId="165" fontId="6" fillId="2" borderId="0" pivotButton="0" quotePrefix="0" xfId="0"/>
    <xf numFmtId="165" fontId="4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5" fontId="5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" fontId="4" fillId="4" borderId="0" pivotButton="0" quotePrefix="0" xfId="0"/>
    <xf numFmtId="1" fontId="5" fillId="4" borderId="0" pivotButton="0" quotePrefix="0" xfId="0"/>
    <xf numFmtId="167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4" fontId="7" fillId="0" borderId="0" pivotButton="0" quotePrefix="0" xfId="0"/>
    <xf numFmtId="164" fontId="4" fillId="4" borderId="0" pivotButton="0" quotePrefix="0" xfId="0"/>
    <xf numFmtId="1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168" fontId="4" fillId="2" borderId="0" pivotButton="0" quotePrefix="0" xfId="0"/>
    <xf numFmtId="164" fontId="5" fillId="2" borderId="0" pivotButton="0" quotePrefix="0" xfId="0"/>
    <xf numFmtId="168" fontId="4" fillId="0" borderId="0" pivotButton="0" quotePrefix="0" xfId="0"/>
    <xf numFmtId="1" fontId="6" fillId="2" borderId="0" pivotButton="0" quotePrefix="0" xfId="0"/>
    <xf numFmtId="1" fontId="6" fillId="0" borderId="0" pivotButton="0" quotePrefix="0" xfId="0"/>
    <xf numFmtId="169" fontId="6" fillId="0" borderId="0" pivotButton="0" quotePrefix="0" xfId="0"/>
    <xf numFmtId="169" fontId="7" fillId="0" borderId="0" pivotButton="0" quotePrefix="0" xfId="0"/>
    <xf numFmtId="2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Modelo</author>
  </authors>
  <commentList>
    <comment ref="B3" authorId="0" shapeId="0">
      <text>
        <t>1 = pesimista, 2 = base, 3 = optimista</t>
      </text>
    </comment>
    <comment ref="B4" authorId="0" shapeId="0">
      <text>
        <t>1 = usar tarifas de la propuesta de SignatureLex; 0 = tarifas de mercado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financiero: distribuidora de medicamentos para compras públicas en Panamá</t>
        </is>
      </c>
    </row>
    <row r="2">
      <c r="A2" s="2" t="inlineStr">
        <is>
          <t>Versión auditada del 9 de octubre de 2026. Cifras en balboas (B/. = US$). Mes 1 del modelo = enero de 2027.</t>
        </is>
      </c>
    </row>
    <row r="3">
      <c r="A3" s="3" t="inlineStr"/>
    </row>
    <row r="4">
      <c r="A4" s="4" t="inlineStr">
        <is>
          <t>Cómo usarlo</t>
        </is>
      </c>
    </row>
    <row r="5">
      <c r="A5" s="5" t="inlineStr">
        <is>
          <t>1. Elija el escenario en Supuestos!B3 (1 = pesimista, 2 = base, 3 = optimista). Todo el modelo se recalcula.</t>
        </is>
      </c>
    </row>
    <row r="6">
      <c r="A6" s="5" t="inlineStr">
        <is>
          <t>2. Cambie cualquier valor azul de las columnas D, E o F de Supuestos, o la columna «Incluir» de SKUs, para probar otra hipótesis.</t>
        </is>
      </c>
    </row>
    <row r="7">
      <c r="A7" s="5" t="inlineStr">
        <is>
          <t>3. Supuestos!B4 = 1 aplica las tarifas de la propuesta de SignatureLex en lugar de las de mercado.</t>
        </is>
      </c>
    </row>
    <row r="8">
      <c r="A8" s="5" t="inlineStr">
        <is>
          <t>4. Resultados vivos: Valoración (VPN, TIR, múltiplo, capital), Anual (estado de resultados e impuestos), Mensual (flujo de caja).</t>
        </is>
      </c>
    </row>
    <row r="9">
      <c r="A9" s="5" t="inlineStr">
        <is>
          <t>5. Las hojas Escenarios, Simulación y Sensibilidad son resultados fijos del motor en Python; no cambian al editar supuestos.</t>
        </is>
      </c>
    </row>
    <row r="10">
      <c r="A10" s="3" t="inlineStr"/>
    </row>
    <row r="11">
      <c r="A11" s="4" t="inlineStr">
        <is>
          <t>Convenciones</t>
        </is>
      </c>
    </row>
    <row r="12">
      <c r="A12" s="5" t="inlineStr">
        <is>
          <t>Texto azul = dato de entrada editable. Negro = fórmula. Verde = vínculo a otra hoja. Relleno amarillo = supuestos clave.</t>
        </is>
      </c>
    </row>
    <row r="13">
      <c r="A13" s="5" t="inlineStr">
        <is>
          <t>En la columna Fuente: F = dato verificado en fuente abierta; R = referencia indirecta; E = estimación propia pendiente de cotización.</t>
        </is>
      </c>
    </row>
    <row r="14">
      <c r="A14" s="3" t="inlineStr"/>
    </row>
    <row r="15">
      <c r="A15" s="4" t="inlineStr">
        <is>
          <t>Lógica del modelo (mes a mes, 60 meses desde la constitución de la S.A.)</t>
        </is>
      </c>
    </row>
    <row r="16">
      <c r="A16" s="5" t="inlineStr">
        <is>
          <t>Ventas descentralizadas = demanda anual x factor de mercado x precio de oferta x probabilidad de registro x participación x rampa.</t>
        </is>
      </c>
    </row>
    <row r="17">
      <c r="A17" s="5" t="inlineStr">
        <is>
          <t>Ventas centralizadas = demanda x precio x probabilidad de ganar x cantidad realmente comprada (LPU de la CSS; compra centralizada del MINSA).</t>
        </is>
      </c>
    </row>
    <row r="18">
      <c r="A18" s="5" t="inlineStr">
        <is>
          <t>La demanda del MINSA centralizado usa la subasta de 2026 cuando existe y, si no, la compra conjunta de 2023 multiplicada por p_cc_w.</t>
        </is>
      </c>
    </row>
    <row r="19">
      <c r="A19" s="5" t="inlineStr">
        <is>
          <t>Solo se oferta un producto en un canal si el margen bruto supera el mínimo (35% descentralizado, 20% centralizado).</t>
        </is>
      </c>
    </row>
    <row r="20">
      <c r="A20" s="5" t="inlineStr">
        <is>
          <t>Inventario objetivo = meses de cobertura x costo del mes siguiente; compras con anticipo al ordenar y saldo al embarque, menos el crédito de la fábrica.</t>
        </is>
      </c>
    </row>
    <row r="21">
      <c r="A21" s="5" t="inlineStr">
        <is>
          <t>Cobro = ventas de hace «días de cobro» meses. Fianzas de cumplimiento sobre la cantidad máxima del contrato (30% LPU, 20% MINSA), vigentes 3 meses (LPU) o 6 (MINSA) después de cada contrato; fianza de propuesta de 10% sobre toda la oferta en la LPU (el acto supera B/.70,000: Ley 419, art. 245); el colateral queda inmovilizado.</t>
        </is>
      </c>
    </row>
    <row r="22">
      <c r="A22" s="5" t="inlineStr">
        <is>
          <t>El primer contrato centralizado exige el registro al ofertar: si no está a tiempo, pasa al ciclo siguiente de 15 meses. La segunda ola entra en el ciclo siguiente para el que tiene registro.</t>
        </is>
      </c>
    </row>
    <row r="23">
      <c r="A23" s="5" t="inlineStr">
        <is>
          <t>Costos fijos con cargas laborales sobre regente y coordinador e ITBMS no recuperable (7%) sobre servicios; el coordinador pasa a tiempo completo con el primer contrato centralizado.</t>
        </is>
      </c>
    </row>
    <row r="24">
      <c r="A24" s="5" t="inlineStr">
        <is>
          <t>Aportes de capital = lo necesario para mantener la caja mínima. Dividendos en los meses 24, 36 y 48 si hay utilidades y caja.</t>
        </is>
      </c>
    </row>
    <row r="25">
      <c r="A25" s="5" t="inlineStr">
        <is>
          <t>Valor terminal (mes 60): caja + 90% del capital de trabajo (conservador). Es el que usan los documentos.</t>
        </is>
      </c>
    </row>
    <row r="26">
      <c r="A26" s="5" t="inlineStr">
        <is>
          <t>Impuestos: ISR 25% con cuotas estimadas en junio, septiembre y diciembre y saldo en marzo; pérdidas arrastrables 5 años al 20% anual con tope de 50% de la renta; CAIR si ventas &gt; B/.1.5 millones; dividendos 10%; aviso de operación 2% del patrimonio, mínimo B/.100 y tope B/.60,000.</t>
        </is>
      </c>
    </row>
    <row r="27">
      <c r="A27" s="3" t="inlineStr"/>
    </row>
    <row r="28">
      <c r="A28" s="4" t="inlineStr">
        <is>
          <t>Limitaciones</t>
        </is>
      </c>
    </row>
    <row r="29">
      <c r="A29" s="5" t="inlineStr">
        <is>
          <t>La fábrica no ha dado precios: el costo parte de una referencia por producto = precio representativo de las compras públicas indias vigentes x 1.4 (ajustado en cinco productos; ver la columna de fuente en Productos), multiplicada por el índice del proveedor (1.25 en la base).</t>
        </is>
      </c>
    </row>
    <row r="30">
      <c r="A30" s="5" t="inlineStr">
        <is>
          <t>No incluye ventas al sector privado ni productos que exigen equivalencia terapéutica. Los costos fijos y logísticos son supuestos hasta tener cotizaciones.</t>
        </is>
      </c>
    </row>
    <row r="31">
      <c r="A31" s="5" t="inlineStr">
        <is>
          <t>El capital del caso base es un valor esperado sin fallas; para dimensionar el capital use los percentiles de la hoja Simulación.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70" customWidth="1" min="8" max="8"/>
    <col width="10" customWidth="1" min="9" max="9"/>
  </cols>
  <sheetData>
    <row r="1">
      <c r="A1" s="6" t="inlineStr">
        <is>
          <t>Supuestos</t>
        </is>
      </c>
    </row>
    <row r="3">
      <c r="A3" s="7" t="inlineStr">
        <is>
          <t>Escenario</t>
        </is>
      </c>
      <c r="B3" s="8" t="n">
        <v>2</v>
      </c>
      <c r="C3" s="9">
        <f>CHOOSE($B$3,"Pesimista","Base","Optimista")</f>
        <v/>
      </c>
    </row>
    <row r="4">
      <c r="A4" s="7" t="inlineStr">
        <is>
          <t>SignatureLex</t>
        </is>
      </c>
      <c r="B4" s="8" t="n">
        <v>0</v>
      </c>
      <c r="C4" s="10" t="inlineStr">
        <is>
          <t>Usar tarifas de la propuesta de SignatureLex (1) o de mercado (0)</t>
        </is>
      </c>
    </row>
    <row r="6">
      <c r="A6" s="11" t="inlineStr">
        <is>
          <t>Clave</t>
        </is>
      </c>
      <c r="B6" s="11" t="inlineStr">
        <is>
          <t>Parámetro</t>
        </is>
      </c>
      <c r="C6" s="11" t="inlineStr">
        <is>
          <t>Unidad</t>
        </is>
      </c>
      <c r="D6" s="11" t="inlineStr">
        <is>
          <t>Pesimista</t>
        </is>
      </c>
      <c r="E6" s="11" t="inlineStr">
        <is>
          <t>Base</t>
        </is>
      </c>
      <c r="F6" s="11" t="inlineStr">
        <is>
          <t>Optimista</t>
        </is>
      </c>
      <c r="G6" s="11" t="inlineStr">
        <is>
          <t>Usado</t>
        </is>
      </c>
      <c r="H6" s="11" t="inlineStr">
        <is>
          <t>Fuente o base</t>
        </is>
      </c>
    </row>
    <row r="7">
      <c r="A7" s="10" t="inlineStr">
        <is>
          <t>reg_m</t>
        </is>
      </c>
      <c r="B7" s="12" t="inlineStr">
        <is>
          <t>Mes en que salen los registros sanitarios (presentados en el mes 3)</t>
        </is>
      </c>
      <c r="C7" s="9" t="inlineStr">
        <is>
          <t>mes</t>
        </is>
      </c>
      <c r="D7" s="13" t="n">
        <v>12</v>
      </c>
      <c r="E7" s="13" t="n">
        <v>9</v>
      </c>
      <c r="F7" s="13" t="n">
        <v>7</v>
      </c>
      <c r="G7" s="14">
        <f>CHOOSE(p_sc,D7,E7,F7)</f>
        <v/>
      </c>
      <c r="H7" s="15" t="inlineStr">
        <is>
          <t>F: Ley 419 arts. 41 y 74 (20 días hábiles de la DNFD y 60 del laboratorio, unos 4 meses); E: base con 2 meses de observaciones, pesimista con subsanación y rezago</t>
        </is>
      </c>
    </row>
    <row r="8">
      <c r="A8" s="10" t="inlineStr">
        <is>
          <t>lead_days</t>
        </is>
      </c>
      <c r="B8" s="12" t="inlineStr">
        <is>
          <t>Tiempo de reposición: orden al proveedor hasta stock en Panamá</t>
        </is>
      </c>
      <c r="C8" s="9" t="inlineStr">
        <is>
          <t>días</t>
        </is>
      </c>
      <c r="D8" s="16" t="n">
        <v>120</v>
      </c>
      <c r="E8" s="16" t="n">
        <v>90</v>
      </c>
      <c r="F8" s="16" t="n">
        <v>75</v>
      </c>
      <c r="G8" s="14">
        <f>CHOOSE(p_sc,D8,E8,F8)</f>
        <v/>
      </c>
      <c r="H8" s="15" t="inlineStr">
        <is>
          <t>E: producción, flete marítimo con transbordo y aduana; se confirma con la fábrica y el agente de carga</t>
        </is>
      </c>
    </row>
    <row r="9">
      <c r="A9" s="10" t="inlineStr">
        <is>
          <t>ship_m</t>
        </is>
      </c>
      <c r="B9" s="12" t="inlineStr">
        <is>
          <t>Meses entre embarque y stock disponible</t>
        </is>
      </c>
      <c r="C9" s="9" t="inlineStr">
        <is>
          <t>meses</t>
        </is>
      </c>
      <c r="D9" s="16" t="n">
        <v>2</v>
      </c>
      <c r="E9" s="16" t="n">
        <v>2</v>
      </c>
      <c r="F9" s="16" t="n">
        <v>2</v>
      </c>
      <c r="G9" s="14">
        <f>CHOOSE(p_sc,D9,E9,F9)</f>
        <v/>
      </c>
      <c r="H9" s="15" t="inlineStr">
        <is>
          <t>E: tránsito con transbordo y desaduanaje</t>
        </is>
      </c>
    </row>
    <row r="10">
      <c r="A10" s="10" t="inlineStr">
        <is>
          <t>ramp_m</t>
        </is>
      </c>
      <c r="B10" s="12" t="inlineStr">
        <is>
          <t>Meses para llegar a la participación madura en compras descentralizadas</t>
        </is>
      </c>
      <c r="C10" s="9" t="inlineStr">
        <is>
          <t>meses</t>
        </is>
      </c>
      <c r="D10" s="16" t="n">
        <v>18</v>
      </c>
      <c r="E10" s="16" t="n">
        <v>12</v>
      </c>
      <c r="F10" s="16" t="n">
        <v>9</v>
      </c>
      <c r="G10" s="14">
        <f>CHOOSE(p_sc,D10,E10,F10)</f>
        <v/>
      </c>
      <c r="H10" s="15" t="inlineStr">
        <is>
          <t>E: curva de aprendizaje; los nuevos son descalificados 57% de las veces frente a 36% de los establecidos (OCDS MINSA 2021-2024)</t>
        </is>
      </c>
    </row>
    <row r="11">
      <c r="A11" s="10" t="inlineStr">
        <is>
          <t>cen_start</t>
        </is>
      </c>
      <c r="B11" s="12" t="inlineStr">
        <is>
          <t>Mes en que podría arrancar el primer contrato centralizado (calendario de la LPU)</t>
        </is>
      </c>
      <c r="C11" s="9" t="inlineStr">
        <is>
          <t>mes</t>
        </is>
      </c>
      <c r="D11" s="13" t="n">
        <v>27</v>
      </c>
      <c r="E11" s="13" t="n">
        <v>20</v>
      </c>
      <c r="F11" s="13" t="n">
        <v>13</v>
      </c>
      <c r="G11" s="14">
        <f>CHOOSE(p_sc,D11,E11,F11)</f>
        <v/>
      </c>
      <c r="H11" s="15" t="inlineStr">
        <is>
          <t>F: la LPU 01-2026 vence el 11-may-2027 y la siguiente se licitaría entre dic-2026 y feb-2027, antes de tener registros; la que sigue arrancaría hacia ago-2028 (mes 20). Optimista: la CSS prorroga y licita a inicios de 2028; pesimista: el calendario se corre 7 meses</t>
        </is>
      </c>
    </row>
    <row r="12">
      <c r="A12" s="10" t="inlineStr">
        <is>
          <t>mkt</t>
        </is>
      </c>
      <c r="B12" s="12" t="inlineStr">
        <is>
          <t>Factor de mercado (demanda futura frente a 2025-2026)</t>
        </is>
      </c>
      <c r="C12" s="9" t="inlineStr">
        <is>
          <t>x</t>
        </is>
      </c>
      <c r="D12" s="17" t="n">
        <v>0.75</v>
      </c>
      <c r="E12" s="17" t="n">
        <v>0.9</v>
      </c>
      <c r="F12" s="17" t="n">
        <v>1</v>
      </c>
      <c r="G12" s="18">
        <f>CHOOSE(p_sc,D12,E12,F12)</f>
        <v/>
      </c>
      <c r="H12" s="15" t="inlineStr">
        <is>
          <t>F: presupuesto de medicamentos de la CSS 2027 de B/.230.3 millones (-28.6%), en trámite; la CSS gastó en 2026 el 64% de lo presupuestado</t>
        </is>
      </c>
    </row>
    <row r="13">
      <c r="A13" s="10" t="inlineStr">
        <is>
          <t>share_dec</t>
        </is>
      </c>
      <c r="B13" s="12" t="inlineStr">
        <is>
          <t>Participación madura en compras descentralizadas (valor)</t>
        </is>
      </c>
      <c r="C13" s="9" t="inlineStr">
        <is>
          <t>%</t>
        </is>
      </c>
      <c r="D13" s="19" t="n">
        <v>0.1</v>
      </c>
      <c r="E13" s="19" t="n">
        <v>0.22</v>
      </c>
      <c r="F13" s="19" t="n">
        <v>0.32</v>
      </c>
      <c r="G13" s="20">
        <f>CHOOSE(p_sc,D13,E13,F13)</f>
        <v/>
      </c>
      <c r="H13" s="15" t="inlineStr">
        <is>
          <t>E: los nuevos ganan 36.6% de sus ofertas con precio (OCDS MINSA 2021-2024), ofertando en parte de los actos</t>
        </is>
      </c>
    </row>
    <row r="14">
      <c r="A14" s="10" t="inlineStr">
        <is>
          <t>pwin_cen</t>
        </is>
      </c>
      <c r="B14" s="12" t="inlineStr">
        <is>
          <t>Probabilidad de ganar un renglón centralizado en el que se oferta</t>
        </is>
      </c>
      <c r="C14" s="9" t="inlineStr">
        <is>
          <t>%</t>
        </is>
      </c>
      <c r="D14" s="19" t="n">
        <v>0.15</v>
      </c>
      <c r="E14" s="19" t="n">
        <v>0.3</v>
      </c>
      <c r="F14" s="19" t="n">
        <v>0.45</v>
      </c>
      <c r="G14" s="20">
        <f>CHOOSE(p_sc,D14,E14,F14)</f>
        <v/>
      </c>
      <c r="H14" s="15" t="inlineStr">
        <is>
          <t>F: los nuevos ganan 36.6% por oferta en el MINSA y la LPU 01-2026 da 39.9% por oferta; E: descuento por descalificación</t>
        </is>
      </c>
    </row>
    <row r="15">
      <c r="A15" s="10" t="inlineStr">
        <is>
          <t>realiz</t>
        </is>
      </c>
      <c r="B15" s="12" t="inlineStr">
        <is>
          <t>Cantidad comprada frente a la máxima del contrato de la LPU</t>
        </is>
      </c>
      <c r="C15" s="9" t="inlineStr">
        <is>
          <t>%</t>
        </is>
      </c>
      <c r="D15" s="21" t="n">
        <v>0.55</v>
      </c>
      <c r="E15" s="21" t="n">
        <v>0.75</v>
      </c>
      <c r="F15" s="21" t="n">
        <v>0.9</v>
      </c>
      <c r="G15" s="20">
        <f>CHOOSE(p_sc,D15,E15,F15)</f>
        <v/>
      </c>
      <c r="H15" s="15" t="inlineStr">
        <is>
          <t>F: compra mínima garantizada de 50% (Adenda 1 de la LPU 01-2026); E: el resto</t>
        </is>
      </c>
    </row>
    <row r="16">
      <c r="A16" s="10" t="inlineStr">
        <is>
          <t>realiz_minsa</t>
        </is>
      </c>
      <c r="B16" s="12" t="inlineStr">
        <is>
          <t>Cantidad comprada frente a la del contrato del MINSA (subasta por cantidad fija)</t>
        </is>
      </c>
      <c r="C16" s="9" t="inlineStr">
        <is>
          <t>%</t>
        </is>
      </c>
      <c r="D16" s="21" t="n">
        <v>1</v>
      </c>
      <c r="E16" s="21" t="n">
        <v>1</v>
      </c>
      <c r="F16" s="21" t="n">
        <v>1</v>
      </c>
      <c r="G16" s="20">
        <f>CHOOSE(p_sc,D16,E16,F16)</f>
        <v/>
      </c>
      <c r="H16" s="15" t="inlineStr">
        <is>
          <t>F: las subastas del MINSA de 2026 son por cantidad fija (informe de la SSR-000018)</t>
        </is>
      </c>
    </row>
    <row r="17">
      <c r="A17" s="10" t="inlineStr">
        <is>
          <t>minsa_occ</t>
        </is>
      </c>
      <c r="B17" s="12" t="inlineStr">
        <is>
          <t>Probabilidad de que el MINSA haga su compra centralizada en el año</t>
        </is>
      </c>
      <c r="C17" s="9" t="inlineStr">
        <is>
          <t>%</t>
        </is>
      </c>
      <c r="D17" s="21" t="n">
        <v>0.3</v>
      </c>
      <c r="E17" s="21" t="n">
        <v>0.5</v>
      </c>
      <c r="F17" s="21" t="n">
        <v>0.7</v>
      </c>
      <c r="G17" s="20">
        <f>CHOOSE(p_sc,D17,E17,F17)</f>
        <v/>
      </c>
      <c r="H17" s="15" t="inlineStr">
        <is>
          <t>F: 33 subastas del MINSA entre el 24-mar y el 29-may-2026 y ninguna después; la compra conjunta del DE 16 no tiene acto a octubre de 2026</t>
        </is>
      </c>
    </row>
    <row r="18">
      <c r="A18" s="10" t="inlineStr">
        <is>
          <t>cc_w</t>
        </is>
      </c>
      <c r="B18" s="12" t="inlineStr">
        <is>
          <t>Parte de la cantidad de la compra conjunta de 2023 que se toma como demanda del MINSA</t>
        </is>
      </c>
      <c r="C18" s="9" t="inlineStr">
        <is>
          <t>%</t>
        </is>
      </c>
      <c r="D18" s="21" t="n">
        <v>0</v>
      </c>
      <c r="E18" s="21" t="n">
        <v>0.15</v>
      </c>
      <c r="F18" s="21" t="n">
        <v>0.5</v>
      </c>
      <c r="G18" s="20">
        <f>CHOOSE(p_sc,D18,E18,F18)</f>
        <v/>
      </c>
      <c r="H18" s="15" t="inlineStr">
        <is>
          <t>F: de los renglones de la primera ola solo 3 de 9 aparecen como contratos y por 7-20% de lo pedido; las cifras de 2023 son ofertas, no adjudicaciones</t>
        </is>
      </c>
    </row>
    <row r="19">
      <c r="A19" s="10" t="inlineStr">
        <is>
          <t>pf_dec</t>
        </is>
      </c>
      <c r="B19" s="12" t="inlineStr">
        <is>
          <t>Precio de oferta descentralizado frente al precio ponderado actual</t>
        </is>
      </c>
      <c r="C19" s="9" t="inlineStr">
        <is>
          <t>x</t>
        </is>
      </c>
      <c r="D19" s="22" t="n">
        <v>0.8</v>
      </c>
      <c r="E19" s="22" t="n">
        <v>0.9</v>
      </c>
      <c r="F19" s="22" t="n">
        <v>0.95</v>
      </c>
      <c r="G19" s="18">
        <f>CHOOSE(p_sc,D19,E19,F19)</f>
        <v/>
      </c>
      <c r="H19" s="15" t="inlineStr">
        <is>
          <t>F: precio ganador / mediana de ofertas = 0.91; E: ajuste</t>
        </is>
      </c>
    </row>
    <row r="20">
      <c r="A20" s="10" t="inlineStr">
        <is>
          <t>pf_cen</t>
        </is>
      </c>
      <c r="B20" s="12" t="inlineStr">
        <is>
          <t>Precio de oferta centralizado frente al adjudicado actual</t>
        </is>
      </c>
      <c r="C20" s="9" t="inlineStr">
        <is>
          <t>x</t>
        </is>
      </c>
      <c r="D20" s="22" t="n">
        <v>0.9</v>
      </c>
      <c r="E20" s="22" t="n">
        <v>0.95</v>
      </c>
      <c r="F20" s="22" t="n">
        <v>1</v>
      </c>
      <c r="G20" s="18">
        <f>CHOOSE(p_sc,D20,E20,F20)</f>
        <v/>
      </c>
      <c r="H20" s="15" t="inlineStr">
        <is>
          <t>F: adjudicado / referencia 0.963 en la LPU 01-2026; E: descuento para desplazar al actual</t>
        </is>
      </c>
    </row>
    <row r="21">
      <c r="A21" s="10" t="inlineStr">
        <is>
          <t>erosion</t>
        </is>
      </c>
      <c r="B21" s="12" t="inlineStr">
        <is>
          <t>Caída anual de precios a partir del año 2</t>
        </is>
      </c>
      <c r="C21" s="9" t="inlineStr">
        <is>
          <t>%</t>
        </is>
      </c>
      <c r="D21" s="21" t="n">
        <v>0.06</v>
      </c>
      <c r="E21" s="21" t="n">
        <v>0.03</v>
      </c>
      <c r="F21" s="21" t="n">
        <v>0</v>
      </c>
      <c r="G21" s="20">
        <f>CHOOSE(p_sc,D21,E21,F21)</f>
        <v/>
      </c>
      <c r="H21" s="15" t="inlineStr">
        <is>
          <t>E: presión fiscal sobre la CSS</t>
        </is>
      </c>
    </row>
    <row r="22">
      <c r="A22" s="10" t="inlineStr">
        <is>
          <t>gm_dec</t>
        </is>
      </c>
      <c r="B22" s="12" t="inlineStr">
        <is>
          <t>Margen bruto mínimo para ofertar (descentralizado)</t>
        </is>
      </c>
      <c r="C22" s="9" t="inlineStr">
        <is>
          <t>%</t>
        </is>
      </c>
      <c r="D22" s="21" t="n">
        <v>0.35</v>
      </c>
      <c r="E22" s="21" t="n">
        <v>0.35</v>
      </c>
      <c r="F22" s="21" t="n">
        <v>0.35</v>
      </c>
      <c r="G22" s="20">
        <f>CHOOSE(p_sc,D22,E22,F22)</f>
        <v/>
      </c>
      <c r="H22" s="15" t="inlineStr">
        <is>
          <t>Regla de decisión</t>
        </is>
      </c>
    </row>
    <row r="23">
      <c r="A23" s="10" t="inlineStr">
        <is>
          <t>gm_cen</t>
        </is>
      </c>
      <c r="B23" s="12" t="inlineStr">
        <is>
          <t>Margen bruto mínimo para ofertar (centralizado)</t>
        </is>
      </c>
      <c r="C23" s="9" t="inlineStr">
        <is>
          <t>%</t>
        </is>
      </c>
      <c r="D23" s="21" t="n">
        <v>0.2</v>
      </c>
      <c r="E23" s="21" t="n">
        <v>0.2</v>
      </c>
      <c r="F23" s="21" t="n">
        <v>0.2</v>
      </c>
      <c r="G23" s="20">
        <f>CHOOSE(p_sc,D23,E23,F23)</f>
        <v/>
      </c>
      <c r="H23" s="15" t="inlineStr">
        <is>
          <t>Regla de decisión</t>
        </is>
      </c>
    </row>
    <row r="24">
      <c r="A24" s="10" t="inlineStr">
        <is>
          <t>sup_idx</t>
        </is>
      </c>
      <c r="B24" s="12" t="inlineStr">
        <is>
          <t>Índice del precio de la fábrica frente a la referencia FOB</t>
        </is>
      </c>
      <c r="C24" s="9" t="inlineStr">
        <is>
          <t>x</t>
        </is>
      </c>
      <c r="D24" s="17" t="n">
        <v>1.8</v>
      </c>
      <c r="E24" s="17" t="n">
        <v>1.25</v>
      </c>
      <c r="F24" s="17" t="n">
        <v>1</v>
      </c>
      <c r="G24" s="18">
        <f>CHOOSE(p_sc,D24,E24,F24)</f>
        <v/>
      </c>
      <c r="H24" s="15" t="inlineStr">
        <is>
          <t>E: la fábrica no ha dado precios; 1.25 sobre la referencia = 1.75 veces el precio doméstico indio; UNICEF y OPS pagan 2 a 9 veces</t>
        </is>
      </c>
    </row>
    <row r="25">
      <c r="A25" s="10" t="inlineStr">
        <is>
          <t>pack</t>
        </is>
      </c>
      <c r="B25" s="12" t="inlineStr">
        <is>
          <t>Sobrecosto por empaque y rotulado exclusivo para Panamá</t>
        </is>
      </c>
      <c r="C25" s="9" t="inlineStr">
        <is>
          <t>%</t>
        </is>
      </c>
      <c r="D25" s="21" t="n">
        <v>0.1</v>
      </c>
      <c r="E25" s="21" t="n">
        <v>0.05</v>
      </c>
      <c r="F25" s="21" t="n">
        <v>0.03</v>
      </c>
      <c r="G25" s="20">
        <f>CHOOSE(p_sc,D25,E25,F25)</f>
        <v/>
      </c>
      <c r="H25" s="15" t="inlineStr">
        <is>
          <t>F: el pliego exige rotulado del acto en el empaque; E: costo</t>
        </is>
      </c>
    </row>
    <row r="26">
      <c r="A26" s="10" t="inlineStr">
        <is>
          <t>log_mult</t>
        </is>
      </c>
      <c r="B26" s="12" t="inlineStr">
        <is>
          <t>Multiplicador del costo logístico (flete LCL, destino, corredor, seguro)</t>
        </is>
      </c>
      <c r="C26" s="9" t="inlineStr">
        <is>
          <t>x</t>
        </is>
      </c>
      <c r="D26" s="22" t="n">
        <v>2.2</v>
      </c>
      <c r="E26" s="22" t="n">
        <v>1.2</v>
      </c>
      <c r="F26" s="22" t="n">
        <v>0.8</v>
      </c>
      <c r="G26" s="18">
        <f>CHOOSE(p_sc,D26,E26,F26)</f>
        <v/>
      </c>
      <c r="H26" s="15" t="inlineStr">
        <is>
          <t>R: LCL puesto en bodega unos US$650 / 356 / 240 por m3 (FAK CMA CGM jun-2026 + recargo PSS; tarifario de destino Crowley; corredor)</t>
        </is>
      </c>
    </row>
    <row r="27">
      <c r="A27" s="10" t="inlineStr">
        <is>
          <t>dist</t>
        </is>
      </c>
      <c r="B27" s="12" t="inlineStr">
        <is>
          <t>Distribución local a almacenes y hospitales (% de ventas)</t>
        </is>
      </c>
      <c r="C27" s="9" t="inlineStr">
        <is>
          <t>%</t>
        </is>
      </c>
      <c r="D27" s="21" t="n">
        <v>0.06</v>
      </c>
      <c r="E27" s="21" t="n">
        <v>0.04</v>
      </c>
      <c r="F27" s="21" t="n">
        <v>0.03</v>
      </c>
      <c r="G27" s="20">
        <f>CHOOSE(p_sc,D27,E27,F27)</f>
        <v/>
      </c>
      <c r="H27" s="15" t="inlineStr">
        <is>
          <t>E: sin tarifa pública</t>
        </is>
      </c>
    </row>
    <row r="28">
      <c r="A28" s="10" t="inlineStr">
        <is>
          <t>penal</t>
        </is>
      </c>
      <c r="B28" s="12" t="inlineStr">
        <is>
          <t>Multas por atraso y reposiciones (% de ventas)</t>
        </is>
      </c>
      <c r="C28" s="9" t="inlineStr">
        <is>
          <t>%</t>
        </is>
      </c>
      <c r="D28" s="21" t="n">
        <v>0.02</v>
      </c>
      <c r="E28" s="21" t="n">
        <v>0.005</v>
      </c>
      <c r="F28" s="21" t="n">
        <v>0</v>
      </c>
      <c r="G28" s="20">
        <f>CHOOSE(p_sc,D28,E28,F28)</f>
        <v/>
      </c>
      <c r="H28" s="15" t="inlineStr">
        <is>
          <t>F: multas de 5-15% y mora de al menos 10% (Ley 419 art. 231); E: frecuencia</t>
        </is>
      </c>
    </row>
    <row r="29">
      <c r="A29" s="10" t="inlineStr">
        <is>
          <t>expiry</t>
        </is>
      </c>
      <c r="B29" s="12" t="inlineStr">
        <is>
          <t>Mermas y vencimientos (% del costo comprado)</t>
        </is>
      </c>
      <c r="C29" s="9" t="inlineStr">
        <is>
          <t>%</t>
        </is>
      </c>
      <c r="D29" s="21" t="n">
        <v>0.08</v>
      </c>
      <c r="E29" s="21" t="n">
        <v>0.04</v>
      </c>
      <c r="F29" s="21" t="n">
        <v>0.015</v>
      </c>
      <c r="G29" s="20">
        <f>CHOOSE(p_sc,D29,E29,F29)</f>
        <v/>
      </c>
      <c r="H29" s="15" t="inlineStr">
        <is>
          <t>F: el pliego exige 18 meses de vida útil al entregar; con 24 meses de vida útil quedan unos 3 meses de ventana en bodega; E: frecuencia</t>
        </is>
      </c>
    </row>
    <row r="30">
      <c r="A30" s="10" t="inlineStr">
        <is>
          <t>baddebt</t>
        </is>
      </c>
      <c r="B30" s="12" t="inlineStr">
        <is>
          <t>Incobrables y vigencias vencidas (% de ventas)</t>
        </is>
      </c>
      <c r="C30" s="9" t="inlineStr">
        <is>
          <t>%</t>
        </is>
      </c>
      <c r="D30" s="21" t="n">
        <v>0.02</v>
      </c>
      <c r="E30" s="21" t="n">
        <v>0.005</v>
      </c>
      <c r="F30" s="21" t="n">
        <v>0</v>
      </c>
      <c r="G30" s="20">
        <f>CHOOSE(p_sc,D30,E30,F30)</f>
        <v/>
      </c>
      <c r="H30" s="15" t="inlineStr">
        <is>
          <t>F: la CSS debía US$48 millones a proveedores en 2023</t>
        </is>
      </c>
    </row>
    <row r="31">
      <c r="A31" s="10" t="inlineStr">
        <is>
          <t>dso_days</t>
        </is>
      </c>
      <c r="B31" s="12" t="inlineStr">
        <is>
          <t>Días de cobro: entrega hasta cobro</t>
        </is>
      </c>
      <c r="C31" s="9" t="inlineStr">
        <is>
          <t>días</t>
        </is>
      </c>
      <c r="D31" s="13" t="n">
        <v>240</v>
      </c>
      <c r="E31" s="13" t="n">
        <v>150</v>
      </c>
      <c r="F31" s="13" t="n">
        <v>105</v>
      </c>
      <c r="G31" s="14">
        <f>CHOOSE(p_sc,D31,E31,F31)</f>
        <v/>
      </c>
      <c r="H31" s="15" t="inlineStr">
        <is>
          <t>F: el contrato paga a 90 días después de presentada, verificada y aceptada la cuenta y del refrendo de la Contraloría; E: el resto</t>
        </is>
      </c>
    </row>
    <row r="32">
      <c r="A32" s="10" t="inlineStr">
        <is>
          <t>cover_m</t>
        </is>
      </c>
      <c r="B32" s="12" t="inlineStr">
        <is>
          <t>Cobertura de inventario para compras descentralizadas</t>
        </is>
      </c>
      <c r="C32" s="9" t="inlineStr">
        <is>
          <t>meses</t>
        </is>
      </c>
      <c r="D32" s="16" t="n">
        <v>3</v>
      </c>
      <c r="E32" s="16" t="n">
        <v>2.5</v>
      </c>
      <c r="F32" s="16" t="n">
        <v>2</v>
      </c>
      <c r="G32" s="14">
        <f>CHOOSE(p_sc,D32,E32,F32)</f>
        <v/>
      </c>
      <c r="H32" s="15" t="inlineStr">
        <is>
          <t>E: limitada por la vida útil (18 meses exigidos al entregar)</t>
        </is>
      </c>
    </row>
    <row r="33">
      <c r="A33" s="10" t="inlineStr">
        <is>
          <t>cen_stock_m</t>
        </is>
      </c>
      <c r="B33" s="12" t="inlineStr">
        <is>
          <t>Inventario para contratos centralizados</t>
        </is>
      </c>
      <c r="C33" s="9" t="inlineStr">
        <is>
          <t>meses</t>
        </is>
      </c>
      <c r="D33" s="16" t="n">
        <v>2</v>
      </c>
      <c r="E33" s="16" t="n">
        <v>2</v>
      </c>
      <c r="F33" s="16" t="n">
        <v>1</v>
      </c>
      <c r="G33" s="14">
        <f>CHOOSE(p_sc,D33,E33,F33)</f>
        <v/>
      </c>
      <c r="H33" s="15" t="inlineStr">
        <is>
          <t>F: la LPU exige reserva de al menos 1 mes</t>
        </is>
      </c>
    </row>
    <row r="34">
      <c r="A34" s="10" t="inlineStr">
        <is>
          <t>adv</t>
        </is>
      </c>
      <c r="B34" s="12" t="inlineStr">
        <is>
          <t>Anticipo a la fábrica al colocar la orden</t>
        </is>
      </c>
      <c r="C34" s="9" t="inlineStr">
        <is>
          <t>%</t>
        </is>
      </c>
      <c r="D34" s="19" t="n">
        <v>1</v>
      </c>
      <c r="E34" s="19" t="n">
        <v>0.3</v>
      </c>
      <c r="F34" s="19" t="n">
        <v>0</v>
      </c>
      <c r="G34" s="20">
        <f>CHOOSE(p_sc,D34,E34,F34)</f>
        <v/>
      </c>
      <c r="H34" s="15" t="inlineStr">
        <is>
          <t>E: se negocia</t>
        </is>
      </c>
    </row>
    <row r="35">
      <c r="A35" s="10" t="inlineStr">
        <is>
          <t>credit_days</t>
        </is>
      </c>
      <c r="B35" s="12" t="inlineStr">
        <is>
          <t>Crédito de la fábrica desde el embarque</t>
        </is>
      </c>
      <c r="C35" s="9" t="inlineStr">
        <is>
          <t>días</t>
        </is>
      </c>
      <c r="D35" s="13" t="n">
        <v>0</v>
      </c>
      <c r="E35" s="13" t="n">
        <v>0</v>
      </c>
      <c r="F35" s="13" t="n">
        <v>120</v>
      </c>
      <c r="G35" s="14">
        <f>CHOOSE(p_sc,D35,E35,F35)</f>
        <v/>
      </c>
      <c r="H35" s="15" t="inlineStr">
        <is>
          <t>E: objetivo de negociación; hoy no ofrecido</t>
        </is>
      </c>
    </row>
    <row r="36">
      <c r="A36" s="10" t="inlineStr">
        <is>
          <t>bond_css</t>
        </is>
      </c>
      <c r="B36" s="12" t="inlineStr">
        <is>
          <t>Fianza de cumplimiento de la LPU (% del contrato)</t>
        </is>
      </c>
      <c r="C36" s="9" t="inlineStr">
        <is>
          <t>%</t>
        </is>
      </c>
      <c r="D36" s="21" t="n">
        <v>0.3</v>
      </c>
      <c r="E36" s="21" t="n">
        <v>0.3</v>
      </c>
      <c r="F36" s="21" t="n">
        <v>0.3</v>
      </c>
      <c r="G36" s="20">
        <f>CHOOSE(p_sc,D36,E36,F36)</f>
        <v/>
      </c>
      <c r="H36" s="15" t="inlineStr">
        <is>
          <t>F: pliego de la LPU 01-2026, cláusula 11</t>
        </is>
      </c>
    </row>
    <row r="37">
      <c r="A37" s="10" t="inlineStr">
        <is>
          <t>bond_minsa</t>
        </is>
      </c>
      <c r="B37" s="12" t="inlineStr">
        <is>
          <t>Fianza de cumplimiento del MINSA (% del contrato)</t>
        </is>
      </c>
      <c r="C37" s="9" t="inlineStr">
        <is>
          <t>%</t>
        </is>
      </c>
      <c r="D37" s="21" t="n">
        <v>0.2</v>
      </c>
      <c r="E37" s="21" t="n">
        <v>0.2</v>
      </c>
      <c r="F37" s="21" t="n">
        <v>0.2</v>
      </c>
      <c r="G37" s="20">
        <f>CHOOSE(p_sc,D37,E37,F37)</f>
        <v/>
      </c>
      <c r="H37" s="15" t="inlineStr">
        <is>
          <t>F: Ley 419 art. 246 (no menos de 20%)</t>
        </is>
      </c>
    </row>
    <row r="38">
      <c r="A38" s="10" t="inlineStr">
        <is>
          <t>collat</t>
        </is>
      </c>
      <c r="B38" s="12" t="inlineStr">
        <is>
          <t>Colateral en efectivo que pide la aseguradora o el banco (% de la fianza)</t>
        </is>
      </c>
      <c r="C38" s="9" t="inlineStr">
        <is>
          <t>%</t>
        </is>
      </c>
      <c r="D38" s="21" t="n">
        <v>1</v>
      </c>
      <c r="E38" s="21" t="n">
        <v>0.75</v>
      </c>
      <c r="F38" s="21" t="n">
        <v>0.25</v>
      </c>
      <c r="G38" s="20">
        <f>CHOOSE(p_sc,D38,E38,F38)</f>
        <v/>
      </c>
      <c r="H38" s="15" t="inlineStr">
        <is>
          <t>E: ninguna aseguradora publica el porcentaje; una empresa nueva sin estados auditados; se cierra con dos cotizaciones</t>
        </is>
      </c>
    </row>
    <row r="39">
      <c r="A39" s="10" t="inlineStr">
        <is>
          <t>bond_prem</t>
        </is>
      </c>
      <c r="B39" s="12" t="inlineStr">
        <is>
          <t>Prima anual de la fianza</t>
        </is>
      </c>
      <c r="C39" s="9" t="inlineStr">
        <is>
          <t>%</t>
        </is>
      </c>
      <c r="D39" s="21" t="n">
        <v>0.04</v>
      </c>
      <c r="E39" s="21" t="n">
        <v>0.025</v>
      </c>
      <c r="F39" s="21" t="n">
        <v>0.013</v>
      </c>
      <c r="G39" s="20">
        <f>CHOOSE(p_sc,D39,E39,F39)</f>
        <v/>
      </c>
      <c r="H39" s="15" t="inlineStr">
        <is>
          <t>F: Banco General, garantía de cumplimiento 1.07-1.605% anual con mínimo de US$1,337.50 (2026); los mínimos elevan la tasa efectiva</t>
        </is>
      </c>
    </row>
    <row r="40">
      <c r="A40" s="10" t="inlineStr">
        <is>
          <t>bid_bond</t>
        </is>
      </c>
      <c r="B40" s="12" t="inlineStr">
        <is>
          <t>Fianza de propuesta en la LPU (% de toda la oferta: el acto supera B/.70,000, Ley 419 art. 245)</t>
        </is>
      </c>
      <c r="C40" s="9" t="inlineStr">
        <is>
          <t>%</t>
        </is>
      </c>
      <c r="D40" s="21" t="n">
        <v>0.1</v>
      </c>
      <c r="E40" s="21" t="n">
        <v>0.1</v>
      </c>
      <c r="F40" s="21" t="n">
        <v>0.1</v>
      </c>
      <c r="G40" s="20">
        <f>CHOOSE(p_sc,D40,E40,F40)</f>
        <v/>
      </c>
      <c r="H40" s="15" t="inlineStr">
        <is>
          <t>F: Ley 419 art. 245; pliego de la LPU 01-2026</t>
        </is>
      </c>
    </row>
    <row r="41">
      <c r="A41" s="10" t="inlineStr">
        <is>
          <t>bid_m</t>
        </is>
      </c>
      <c r="B41" s="12" t="inlineStr">
        <is>
          <t>Meses de colateral de la fianza de propuesta antes de cada contrato de la LPU</t>
        </is>
      </c>
      <c r="C41" s="9" t="inlineStr">
        <is>
          <t>meses</t>
        </is>
      </c>
      <c r="D41" s="16" t="n">
        <v>6</v>
      </c>
      <c r="E41" s="16" t="n">
        <v>5</v>
      </c>
      <c r="F41" s="16" t="n">
        <v>4</v>
      </c>
      <c r="G41" s="14">
        <f>CHOOSE(p_sc,D41,E41,F41)</f>
        <v/>
      </c>
      <c r="H41" s="15" t="inlineStr">
        <is>
          <t>F: vigencia exigida de 180 días hábiles; 3.5 meses de publicación a ejecutoria en la LPU 01-2026</t>
        </is>
      </c>
    </row>
    <row r="42">
      <c r="A42" s="10" t="inlineStr">
        <is>
          <t>mincash_m</t>
        </is>
      </c>
      <c r="B42" s="12" t="inlineStr">
        <is>
          <t>Caja mínima operativa (meses de costos fijos)</t>
        </is>
      </c>
      <c r="C42" s="9" t="inlineStr">
        <is>
          <t>meses</t>
        </is>
      </c>
      <c r="D42" s="16" t="n">
        <v>3</v>
      </c>
      <c r="E42" s="16" t="n">
        <v>3</v>
      </c>
      <c r="F42" s="16" t="n">
        <v>3</v>
      </c>
      <c r="G42" s="14">
        <f>CHOOSE(p_sc,D42,E42,F42)</f>
        <v/>
      </c>
      <c r="H42" s="15" t="inlineStr">
        <is>
          <t>Política financiera</t>
        </is>
      </c>
    </row>
    <row r="43">
      <c r="A43" s="10" t="inlineStr">
        <is>
          <t>rs_off</t>
        </is>
      </c>
      <c r="B43" s="12" t="inlineStr">
        <is>
          <t>Tasas oficiales por registro (DNFD 500 + MEF + refrendo)</t>
        </is>
      </c>
      <c r="C43" s="9" t="inlineStr">
        <is>
          <t>B/.</t>
        </is>
      </c>
      <c r="D43" s="16" t="n">
        <v>575</v>
      </c>
      <c r="E43" s="16" t="n">
        <v>570</v>
      </c>
      <c r="F43" s="16" t="n">
        <v>545</v>
      </c>
      <c r="G43" s="14">
        <f>CHOOSE(p_sc,D43,E43,F43)</f>
        <v/>
      </c>
      <c r="H43" s="15" t="inlineStr">
        <is>
          <t>F: DE 27 art. 15; guía del MINSA de 2012 para MEF y refrendo</t>
        </is>
      </c>
    </row>
    <row r="44">
      <c r="A44" s="10" t="inlineStr">
        <is>
          <t>rs_iea</t>
        </is>
      </c>
      <c r="B44" s="12" t="inlineStr">
        <is>
          <t>Análisis de control previo (IEA o INDICASAT) por producto</t>
        </is>
      </c>
      <c r="C44" s="9" t="inlineStr">
        <is>
          <t>B/.</t>
        </is>
      </c>
      <c r="D44" s="16" t="n">
        <v>2000</v>
      </c>
      <c r="E44" s="16" t="n">
        <v>1500</v>
      </c>
      <c r="F44" s="16" t="n">
        <v>1000</v>
      </c>
      <c r="G44" s="14">
        <f>IF(p_sl=1,1500,CHOOSE(p_sc,D44,E44,F44))</f>
        <v/>
      </c>
      <c r="H44" s="15" t="inlineStr">
        <is>
          <t>R: guía del MINSA de 2012 US$1,000; SignatureLex B/.1,500; la tarifa vigente no está publicada pese a la Ley 419 art. 79</t>
        </is>
      </c>
    </row>
    <row r="45">
      <c r="A45" s="10" t="inlineStr">
        <is>
          <t>rs_law</t>
        </is>
      </c>
      <c r="B45" s="12" t="inlineStr">
        <is>
          <t>Honorario y gastos del abogado por registro</t>
        </is>
      </c>
      <c r="C45" s="9" t="inlineStr">
        <is>
          <t>B/.</t>
        </is>
      </c>
      <c r="D45" s="16" t="n">
        <v>1350</v>
      </c>
      <c r="E45" s="16" t="n">
        <v>800</v>
      </c>
      <c r="F45" s="16" t="n">
        <v>500</v>
      </c>
      <c r="G45" s="14">
        <f>IF(p_sl=1,1350,CHOOSE(p_sc,D45,E45,F45))</f>
        <v/>
      </c>
      <c r="H45" s="15" t="inlineStr">
        <is>
          <t>R: SignatureLex 600 + 750; arancel de 2001 B/.350</t>
        </is>
      </c>
    </row>
    <row r="46">
      <c r="A46" s="10" t="inlineStr">
        <is>
          <t>rs_smp</t>
        </is>
      </c>
      <c r="B46" s="12" t="inlineStr">
        <is>
          <t>Muestras y courier por registro</t>
        </is>
      </c>
      <c r="C46" s="9" t="inlineStr">
        <is>
          <t>B/.</t>
        </is>
      </c>
      <c r="D46" s="16" t="n">
        <v>300</v>
      </c>
      <c r="E46" s="16" t="n">
        <v>150</v>
      </c>
      <c r="F46" s="16" t="n">
        <v>100</v>
      </c>
      <c r="G46" s="14">
        <f>CHOOSE(p_sc,D46,E46,F46)</f>
        <v/>
      </c>
      <c r="H46" s="15" t="inlineStr">
        <is>
          <t>E</t>
        </is>
      </c>
    </row>
    <row r="47">
      <c r="A47" s="10" t="inlineStr">
        <is>
          <t>rs_trad</t>
        </is>
      </c>
      <c r="B47" s="12" t="inlineStr">
        <is>
          <t>Traducciones oficiales por registro (CPP, BPM, poderes, etiquetas)</t>
        </is>
      </c>
      <c r="C47" s="9" t="inlineStr">
        <is>
          <t>B/.</t>
        </is>
      </c>
      <c r="D47" s="16" t="n">
        <v>1500</v>
      </c>
      <c r="E47" s="16" t="n">
        <v>600</v>
      </c>
      <c r="F47" s="16" t="n">
        <v>300</v>
      </c>
      <c r="G47" s="14">
        <f>CHOOSE(p_sc,D47,E47,F47)</f>
        <v/>
      </c>
      <c r="H47" s="15" t="inlineStr">
        <is>
          <t>F: DE 27 art. 220 exige traductor público autorizado; E: monto</t>
        </is>
      </c>
    </row>
    <row r="48">
      <c r="A48" s="10" t="inlineStr">
        <is>
          <t>rs_succ</t>
        </is>
      </c>
      <c r="B48" s="12" t="inlineStr">
        <is>
          <t>Registros aprobados / presentados</t>
        </is>
      </c>
      <c r="C48" s="9" t="inlineStr">
        <is>
          <t>%</t>
        </is>
      </c>
      <c r="D48" s="21" t="n">
        <v>0.7</v>
      </c>
      <c r="E48" s="21" t="n">
        <v>0.85</v>
      </c>
      <c r="F48" s="21" t="n">
        <v>0.95</v>
      </c>
      <c r="G48" s="20">
        <f>CHOOSE(p_sc,D48,E48,F48)</f>
        <v/>
      </c>
      <c r="H48" s="15" t="inlineStr">
        <is>
          <t>E</t>
        </is>
      </c>
    </row>
    <row r="49">
      <c r="A49" s="10" t="inlineStr">
        <is>
          <t>postreg</t>
        </is>
      </c>
      <c r="B49" s="12" t="inlineStr">
        <is>
          <t>Análisis posregistro por producto (2 en 5 años), por año</t>
        </is>
      </c>
      <c r="C49" s="9" t="inlineStr">
        <is>
          <t>B/.</t>
        </is>
      </c>
      <c r="D49" s="16" t="n">
        <v>800</v>
      </c>
      <c r="E49" s="16" t="n">
        <v>600</v>
      </c>
      <c r="F49" s="16" t="n">
        <v>400</v>
      </c>
      <c r="G49" s="14">
        <f>CHOOSE(p_sc,D49,E49,F49)</f>
        <v/>
      </c>
      <c r="H49" s="15" t="inlineStr">
        <is>
          <t>F: Ley 419 art. 67; R: 2 x 1,500 / 5</t>
        </is>
      </c>
    </row>
    <row r="50">
      <c r="A50" s="10" t="inlineStr">
        <is>
          <t>n2</t>
        </is>
      </c>
      <c r="B50" s="12" t="inlineStr">
        <is>
          <t>Productos de la segunda ola (sin equivalencia terapéutica, fabricación verificada)</t>
        </is>
      </c>
      <c r="C50" s="9" t="inlineStr">
        <is>
          <t>productos</t>
        </is>
      </c>
      <c r="D50" s="13" t="n">
        <v>0</v>
      </c>
      <c r="E50" s="13" t="n">
        <v>6</v>
      </c>
      <c r="F50" s="13" t="n">
        <v>12</v>
      </c>
      <c r="G50" s="14">
        <f>CHOOSE(p_sc,D50,E50,F50)</f>
        <v/>
      </c>
      <c r="H50" s="15" t="inlineStr">
        <is>
          <t>E: candidatos del catálogo con compras públicas; exigen prueba de licencia de fabricación de cada uno</t>
        </is>
      </c>
    </row>
    <row r="51">
      <c r="A51" s="10" t="inlineStr">
        <is>
          <t>m2</t>
        </is>
      </c>
      <c r="B51" s="12" t="inlineStr">
        <is>
          <t>Mes en que se presentan los registros de la segunda ola</t>
        </is>
      </c>
      <c r="C51" s="9" t="inlineStr">
        <is>
          <t>mes</t>
        </is>
      </c>
      <c r="D51" s="16" t="n">
        <v>24</v>
      </c>
      <c r="E51" s="16" t="n">
        <v>18</v>
      </c>
      <c r="F51" s="16" t="n">
        <v>15</v>
      </c>
      <c r="G51" s="14">
        <f>CHOOSE(p_sc,D51,E51,F51)</f>
        <v/>
      </c>
      <c r="H51" s="15" t="inlineStr">
        <is>
          <t>Decisión: solo si la primera ola pasa la compuerta operativa</t>
        </is>
      </c>
    </row>
    <row r="52">
      <c r="A52" s="10" t="inlineStr">
        <is>
          <t>rel2</t>
        </is>
      </c>
      <c r="B52" s="12" t="inlineStr">
        <is>
          <t>Ingreso por producto de la segunda ola frente al promedio de la primera</t>
        </is>
      </c>
      <c r="C52" s="9" t="inlineStr">
        <is>
          <t>x</t>
        </is>
      </c>
      <c r="D52" s="22" t="n">
        <v>0.5</v>
      </c>
      <c r="E52" s="22" t="n">
        <v>0.7</v>
      </c>
      <c r="F52" s="22" t="n">
        <v>1</v>
      </c>
      <c r="G52" s="18">
        <f>CHOOSE(p_sc,D52,E52,F52)</f>
        <v/>
      </c>
      <c r="H52" s="15" t="inlineStr">
        <is>
          <t>E</t>
        </is>
      </c>
    </row>
    <row r="53">
      <c r="A53" s="10" t="inlineStr">
        <is>
          <t>fact_share</t>
        </is>
      </c>
      <c r="B53" s="12" t="inlineStr">
        <is>
          <t>Porcentaje de las ventas que se factoriza</t>
        </is>
      </c>
      <c r="C53" s="9" t="inlineStr">
        <is>
          <t>%</t>
        </is>
      </c>
      <c r="D53" s="21" t="n">
        <v>0</v>
      </c>
      <c r="E53" s="21" t="n">
        <v>0</v>
      </c>
      <c r="F53" s="21" t="n">
        <v>0</v>
      </c>
      <c r="G53" s="20">
        <f>CHOOSE(p_sc,D53,E53,F53)</f>
        <v/>
      </c>
      <c r="H53" s="15" t="inlineStr">
        <is>
          <t>Opción; Ley 22 art. 97 permite ceder créditos</t>
        </is>
      </c>
    </row>
    <row r="54">
      <c r="A54" s="10" t="inlineStr">
        <is>
          <t>fact_cost</t>
        </is>
      </c>
      <c r="B54" s="12" t="inlineStr">
        <is>
          <t>Costo mensual del factoring sobre lo cedido</t>
        </is>
      </c>
      <c r="C54" s="9" t="inlineStr">
        <is>
          <t>%</t>
        </is>
      </c>
      <c r="D54" s="21" t="n">
        <v>0.015</v>
      </c>
      <c r="E54" s="21" t="n">
        <v>0.0125</v>
      </c>
      <c r="F54" s="21" t="n">
        <v>0.01</v>
      </c>
      <c r="G54" s="20">
        <f>CHOOSE(p_sc,D54,E54,F54)</f>
        <v/>
      </c>
      <c r="H54" s="15" t="inlineStr">
        <is>
          <t>R: Balboa Factoring 2025, 14.6-18.3% anual</t>
        </is>
      </c>
    </row>
    <row r="55">
      <c r="A55" s="10" t="inlineStr">
        <is>
          <t>stop_det</t>
        </is>
      </c>
      <c r="B55" s="12" t="inlineStr">
        <is>
          <t>Mes de cierre del negocio (61 = no se cierra)</t>
        </is>
      </c>
      <c r="C55" s="9" t="inlineStr">
        <is>
          <t>mes</t>
        </is>
      </c>
      <c r="D55" s="16" t="n">
        <v>61</v>
      </c>
      <c r="E55" s="16" t="n">
        <v>61</v>
      </c>
      <c r="F55" s="16" t="n">
        <v>61</v>
      </c>
      <c r="G55" s="14">
        <f>CHOOSE(p_sc,D55,E55,F55)</f>
        <v/>
      </c>
      <c r="H55" s="15" t="inlineStr">
        <is>
          <t>Interruptor</t>
        </is>
      </c>
    </row>
    <row r="56">
      <c r="A56" s="10" t="inlineStr">
        <is>
          <t>inv_liq</t>
        </is>
      </c>
      <c r="B56" s="12" t="inlineStr">
        <is>
          <t>Recuperación del inventario si se cierra</t>
        </is>
      </c>
      <c r="C56" s="9" t="inlineStr">
        <is>
          <t>%</t>
        </is>
      </c>
      <c r="D56" s="21" t="n">
        <v>0.5</v>
      </c>
      <c r="E56" s="21" t="n">
        <v>0.5</v>
      </c>
      <c r="F56" s="21" t="n">
        <v>0.5</v>
      </c>
      <c r="G56" s="20">
        <f>CHOOSE(p_sc,D56,E56,F56)</f>
        <v/>
      </c>
      <c r="H56" s="15" t="inlineStr">
        <is>
          <t>E</t>
        </is>
      </c>
    </row>
    <row r="57">
      <c r="A57" s="10" t="inlineStr">
        <is>
          <t>isr</t>
        </is>
      </c>
      <c r="B57" s="12" t="inlineStr">
        <is>
          <t>Impuesto sobre la renta</t>
        </is>
      </c>
      <c r="C57" s="9" t="inlineStr">
        <is>
          <t>%</t>
        </is>
      </c>
      <c r="D57" s="21" t="n">
        <v>0.25</v>
      </c>
      <c r="E57" s="21" t="n">
        <v>0.25</v>
      </c>
      <c r="F57" s="21" t="n">
        <v>0.25</v>
      </c>
      <c r="G57" s="20">
        <f>CHOOSE(p_sc,D57,E57,F57)</f>
        <v/>
      </c>
      <c r="H57" s="15" t="inlineStr">
        <is>
          <t>F: Código Fiscal art. 699</t>
        </is>
      </c>
    </row>
    <row r="58">
      <c r="A58" s="10" t="inlineStr">
        <is>
          <t>divtax</t>
        </is>
      </c>
      <c r="B58" s="12" t="inlineStr">
        <is>
          <t>Impuesto de dividendos</t>
        </is>
      </c>
      <c r="C58" s="9" t="inlineStr">
        <is>
          <t>%</t>
        </is>
      </c>
      <c r="D58" s="21" t="n">
        <v>0.1</v>
      </c>
      <c r="E58" s="21" t="n">
        <v>0.1</v>
      </c>
      <c r="F58" s="21" t="n">
        <v>0.1</v>
      </c>
      <c r="G58" s="20">
        <f>CHOOSE(p_sc,D58,E58,F58)</f>
        <v/>
      </c>
      <c r="H58" s="15" t="inlineStr">
        <is>
          <t>F: Código Fiscal art. 733</t>
        </is>
      </c>
    </row>
    <row r="59">
      <c r="A59" s="10" t="inlineStr">
        <is>
          <t>aviso</t>
        </is>
      </c>
      <c r="B59" s="12" t="inlineStr">
        <is>
          <t>Impuesto de aviso de operación (% del patrimonio; mínimo B/.100, máximo B/.60,000)</t>
        </is>
      </c>
      <c r="C59" s="9" t="inlineStr">
        <is>
          <t>%</t>
        </is>
      </c>
      <c r="D59" s="21" t="n">
        <v>0.02</v>
      </c>
      <c r="E59" s="21" t="n">
        <v>0.02</v>
      </c>
      <c r="F59" s="21" t="n">
        <v>0.02</v>
      </c>
      <c r="G59" s="20">
        <f>CHOOSE(p_sc,D59,E59,F59)</f>
        <v/>
      </c>
      <c r="H59" s="15" t="inlineStr">
        <is>
          <t>F: Código Fiscal art. 1004</t>
        </is>
      </c>
    </row>
    <row r="60">
      <c r="A60" s="10" t="inlineStr">
        <is>
          <t>oncost</t>
        </is>
      </c>
      <c r="B60" s="12" t="inlineStr">
        <is>
          <t>Cargas laborales sobre sueldos</t>
        </is>
      </c>
      <c r="C60" s="9" t="inlineStr">
        <is>
          <t>%</t>
        </is>
      </c>
      <c r="D60" s="21" t="n">
        <v>0.29</v>
      </c>
      <c r="E60" s="21" t="n">
        <v>0.28</v>
      </c>
      <c r="F60" s="21" t="n">
        <v>0.27</v>
      </c>
      <c r="G60" s="20">
        <f>CHOOSE(p_sc,D60,E60,F60)</f>
        <v/>
      </c>
      <c r="H60" s="15" t="inlineStr">
        <is>
          <t>F: cuota patronal 13.25% hasta feb-2027, 14.25% hasta feb-2029 y 15.25% después (Ley 462 art. 84), seguro educativo 1.5%, riesgos profesionales, XIII mes y prima de antigüedad</t>
        </is>
      </c>
    </row>
    <row r="61">
      <c r="A61" s="10" t="inlineStr">
        <is>
          <t>itbms_srv</t>
        </is>
      </c>
      <c r="B61" s="12" t="inlineStr">
        <is>
          <t>ITBMS no recuperable sobre servicios contratados</t>
        </is>
      </c>
      <c r="C61" s="9" t="inlineStr">
        <is>
          <t>%</t>
        </is>
      </c>
      <c r="D61" s="21" t="n">
        <v>0.07000000000000001</v>
      </c>
      <c r="E61" s="21" t="n">
        <v>0.07000000000000001</v>
      </c>
      <c r="F61" s="21" t="n">
        <v>0</v>
      </c>
      <c r="G61" s="20">
        <f>CHOOSE(p_sc,D61,E61,F61)</f>
        <v/>
      </c>
      <c r="H61" s="15" t="inlineStr">
        <is>
          <t>F: ITBMS 7%; los medicamentos están exentos; recuperable como «asimilado a exportador» solo en el optimista (Ley 8 de 2010 art. 80)</t>
        </is>
      </c>
    </row>
    <row r="62">
      <c r="A62" s="10" t="inlineStr">
        <is>
          <t>payout</t>
        </is>
      </c>
      <c r="B62" s="12" t="inlineStr">
        <is>
          <t>Porcentaje distribuible que se reparte cada año</t>
        </is>
      </c>
      <c r="C62" s="9" t="inlineStr">
        <is>
          <t>%</t>
        </is>
      </c>
      <c r="D62" s="21" t="n">
        <v>0.8</v>
      </c>
      <c r="E62" s="21" t="n">
        <v>0.8</v>
      </c>
      <c r="F62" s="21" t="n">
        <v>0.8</v>
      </c>
      <c r="G62" s="20">
        <f>CHOOSE(p_sc,D62,E62,F62)</f>
        <v/>
      </c>
      <c r="H62" s="15" t="inlineStr">
        <is>
          <t>Política</t>
        </is>
      </c>
    </row>
    <row r="63">
      <c r="A63" s="10" t="inlineStr">
        <is>
          <t>disc</t>
        </is>
      </c>
      <c r="B63" s="12" t="inlineStr">
        <is>
          <t>Tasa de descuento anual para el VPN del caso sin fallas</t>
        </is>
      </c>
      <c r="C63" s="9" t="inlineStr">
        <is>
          <t>%</t>
        </is>
      </c>
      <c r="D63" s="21" t="n">
        <v>0.3</v>
      </c>
      <c r="E63" s="21" t="n">
        <v>0.3</v>
      </c>
      <c r="F63" s="21" t="n">
        <v>0.3</v>
      </c>
      <c r="G63" s="20">
        <f>CHOOSE(p_sc,D63,E63,F63)</f>
        <v/>
      </c>
      <c r="H63" s="15" t="inlineStr">
        <is>
          <t>E: pyme nueva con un solo cliente estatal</t>
        </is>
      </c>
    </row>
    <row r="64">
      <c r="A64" s="10" t="inlineStr">
        <is>
          <t>recov</t>
        </is>
      </c>
      <c r="B64" s="12" t="inlineStr">
        <is>
          <t>Recuperación del capital de trabajo al cierre (cobro, inventario, colateral)</t>
        </is>
      </c>
      <c r="C64" s="9" t="inlineStr">
        <is>
          <t>%</t>
        </is>
      </c>
      <c r="D64" s="21" t="n">
        <v>0.8</v>
      </c>
      <c r="E64" s="21" t="n">
        <v>0.9</v>
      </c>
      <c r="F64" s="21" t="n">
        <v>0.95</v>
      </c>
      <c r="G64" s="20">
        <f>CHOOSE(p_sc,D64,E64,F64)</f>
        <v/>
      </c>
      <c r="H64" s="15" t="inlineStr">
        <is>
          <t>E</t>
        </is>
      </c>
    </row>
    <row r="65">
      <c r="A65" s="10" t="inlineStr">
        <is>
          <t>gc_mult</t>
        </is>
      </c>
      <c r="B65" s="12" t="inlineStr">
        <is>
          <t>Múltiplo de la utilidad del año 5 (negocio en marcha; no se usa en los documentos)</t>
        </is>
      </c>
      <c r="C65" s="9" t="inlineStr">
        <is>
          <t>x</t>
        </is>
      </c>
      <c r="D65" s="22" t="n">
        <v>0</v>
      </c>
      <c r="E65" s="22" t="n">
        <v>3</v>
      </c>
      <c r="F65" s="22" t="n">
        <v>4</v>
      </c>
      <c r="G65" s="18">
        <f>CHOOSE(p_sc,D65,E65,F65)</f>
        <v/>
      </c>
      <c r="H65" s="15" t="inlineStr">
        <is>
          <t>E</t>
        </is>
      </c>
    </row>
    <row r="66">
      <c r="A66" s="10" t="inlineStr">
        <is>
          <t>patel_eq</t>
        </is>
      </c>
      <c r="B66" s="12" t="inlineStr">
        <is>
          <t>Participación de Rutul Patel en la S.A.</t>
        </is>
      </c>
      <c r="C66" s="9" t="inlineStr">
        <is>
          <t>%</t>
        </is>
      </c>
      <c r="D66" s="21" t="n">
        <v>0.5</v>
      </c>
      <c r="E66" s="21" t="n">
        <v>0.5</v>
      </c>
      <c r="F66" s="21" t="n">
        <v>0.5</v>
      </c>
      <c r="G66" s="20">
        <f>CHOOSE(p_sc,D66,E66,F66)</f>
        <v/>
      </c>
      <c r="H66" s="15" t="inlineStr">
        <is>
          <t>F: propuesta de Rutul Patel (50/50)</t>
        </is>
      </c>
    </row>
    <row r="67">
      <c r="A67" s="10" t="inlineStr">
        <is>
          <t>patel_cash</t>
        </is>
      </c>
      <c r="B67" s="12" t="inlineStr">
        <is>
          <t>Porcentaje del capital que aporta Rutul Patel</t>
        </is>
      </c>
      <c r="C67" s="9" t="inlineStr">
        <is>
          <t>%</t>
        </is>
      </c>
      <c r="D67" s="21" t="n">
        <v>0.5</v>
      </c>
      <c r="E67" s="21" t="n">
        <v>0.5</v>
      </c>
      <c r="F67" s="21" t="n">
        <v>0.5</v>
      </c>
      <c r="G67" s="20">
        <f>CHOOSE(p_sc,D67,E67,F67)</f>
        <v/>
      </c>
      <c r="H67" s="15" t="inlineStr">
        <is>
          <t>F: propuesta de Rutul Patel (costos 50/50)</t>
        </is>
      </c>
    </row>
    <row r="68">
      <c r="A68" s="10" t="inlineStr">
        <is>
          <t>jaime_frac</t>
        </is>
      </c>
      <c r="B68" s="12" t="inlineStr">
        <is>
          <t>Fracción de cada socio panameño dentro del 50% panameño</t>
        </is>
      </c>
      <c r="C68" s="9" t="inlineStr">
        <is>
          <t>%</t>
        </is>
      </c>
      <c r="D68" s="21" t="n">
        <v>0.3333333333333333</v>
      </c>
      <c r="E68" s="21" t="n">
        <v>0.3333333333333333</v>
      </c>
      <c r="F68" s="21" t="n">
        <v>0.3333333333333333</v>
      </c>
      <c r="G68" s="20">
        <f>CHOOSE(p_sc,D68,E68,F68)</f>
        <v/>
      </c>
      <c r="H68" s="15" t="inlineStr">
        <is>
          <t>F: tres socios panameños por partes iguales</t>
        </is>
      </c>
    </row>
    <row r="69">
      <c r="A69" s="10" t="inlineStr">
        <is>
          <t>zy_markup</t>
        </is>
      </c>
      <c r="B69" s="12" t="inlineStr">
        <is>
          <t>Margen de Zywie sobre el precio de fábrica (dentro del índice del proveedor)</t>
        </is>
      </c>
      <c r="C69" s="9" t="inlineStr">
        <is>
          <t>%</t>
        </is>
      </c>
      <c r="D69" s="21" t="n">
        <v>0.25</v>
      </c>
      <c r="E69" s="21" t="n">
        <v>0.15</v>
      </c>
      <c r="F69" s="21" t="n">
        <v>0.05</v>
      </c>
      <c r="G69" s="20">
        <f>CHOOSE(p_sc,D69,E69,F69)</f>
        <v/>
      </c>
      <c r="H69" s="15" t="inlineStr">
        <is>
          <t>E</t>
        </is>
      </c>
    </row>
    <row r="70">
      <c r="A70" s="10" t="inlineStr">
        <is>
          <t>bond_tail_css</t>
        </is>
      </c>
      <c r="B70" s="12" t="inlineStr">
        <is>
          <t>Meses que la fianza de cumplimiento de la LPU sigue vigente tras el contrato</t>
        </is>
      </c>
      <c r="C70" s="9" t="inlineStr">
        <is>
          <t>meses</t>
        </is>
      </c>
      <c r="D70" s="16" t="n">
        <v>3</v>
      </c>
      <c r="E70" s="16" t="n">
        <v>3</v>
      </c>
      <c r="F70" s="16" t="n">
        <v>3</v>
      </c>
      <c r="G70" s="14">
        <f>CHOOSE(p_sc,D70,E70,F70)</f>
        <v/>
      </c>
      <c r="H70" s="15" t="inlineStr">
        <is>
          <t>F: contratos de la LPU 01-2026: ejecución más 3 meses de liquidación (cláusula Octava)</t>
        </is>
      </c>
    </row>
    <row r="71">
      <c r="A71" s="10" t="inlineStr">
        <is>
          <t>bond_tail_minsa</t>
        </is>
      </c>
      <c r="B71" s="12" t="inlineStr">
        <is>
          <t>Meses que la fianza de cumplimiento del MINSA sigue vigente tras el contrato</t>
        </is>
      </c>
      <c r="C71" s="9" t="inlineStr">
        <is>
          <t>meses</t>
        </is>
      </c>
      <c r="D71" s="16" t="n">
        <v>6</v>
      </c>
      <c r="E71" s="16" t="n">
        <v>6</v>
      </c>
      <c r="F71" s="16" t="n">
        <v>6</v>
      </c>
      <c r="G71" s="14">
        <f>CHOOSE(p_sc,D71,E71,F71)</f>
        <v/>
      </c>
      <c r="H71" s="15" t="inlineStr">
        <is>
          <t>E: ejecución, liquidación y 6 meses; se confirma en el pliego</t>
        </is>
      </c>
    </row>
    <row r="72">
      <c r="A72" s="10" t="inlineStr">
        <is>
          <t>forfeit_frac</t>
        </is>
      </c>
      <c r="B72" s="12" t="inlineStr">
        <is>
          <t>Parte de la fianza de cumplimiento que se pierde si el Estado la ejecuta</t>
        </is>
      </c>
      <c r="C72" s="9" t="inlineStr">
        <is>
          <t>%</t>
        </is>
      </c>
      <c r="D72" s="21" t="n">
        <v>1</v>
      </c>
      <c r="E72" s="21" t="n">
        <v>1</v>
      </c>
      <c r="F72" s="21" t="n">
        <v>1</v>
      </c>
      <c r="G72" s="20">
        <f>CHOOSE(p_sc,D72,E72,F72)</f>
        <v/>
      </c>
      <c r="H72" s="15" t="inlineStr">
        <is>
          <t>F: Ley 22 (ejecución de la fianza) y contragarantías de la aseguradora (pagaré, codeudores)</t>
        </is>
      </c>
    </row>
    <row r="74">
      <c r="A74" s="23" t="inlineStr">
        <is>
          <t>Costos fijos mensuales (B/./mes)</t>
        </is>
      </c>
    </row>
    <row r="75">
      <c r="A75" s="11" t="inlineStr">
        <is>
          <t>#</t>
        </is>
      </c>
      <c r="B75" s="11" t="inlineStr">
        <is>
          <t>Concepto</t>
        </is>
      </c>
      <c r="C75" s="11" t="inlineStr">
        <is>
          <t>Inicio</t>
        </is>
      </c>
      <c r="D75" s="11" t="inlineStr">
        <is>
          <t>Pesimista</t>
        </is>
      </c>
      <c r="E75" s="11" t="inlineStr">
        <is>
          <t>Base</t>
        </is>
      </c>
      <c r="F75" s="11" t="inlineStr">
        <is>
          <t>Optimista</t>
        </is>
      </c>
      <c r="G75" s="11" t="inlineStr">
        <is>
          <t>Usado (con cargas o ITBMS)</t>
        </is>
      </c>
      <c r="H75" s="11" t="inlineStr">
        <is>
          <t>Fuente o base</t>
        </is>
      </c>
      <c r="I75" s="11" t="inlineStr">
        <is>
          <t>Mes inicio</t>
        </is>
      </c>
      <c r="J75" s="11" t="inlineStr">
        <is>
          <t>Tipo</t>
        </is>
      </c>
    </row>
    <row r="76">
      <c r="A76" s="10" t="n">
        <v>1</v>
      </c>
      <c r="B76" s="12" t="inlineStr">
        <is>
          <t>Regente farmacéutico (medio tiempo, mínimo 4 h diarias)</t>
        </is>
      </c>
      <c r="C76" s="9" t="inlineStr">
        <is>
          <t>licencia</t>
        </is>
      </c>
      <c r="D76" s="16" t="n">
        <v>1200</v>
      </c>
      <c r="E76" s="16" t="n">
        <v>700</v>
      </c>
      <c r="F76" s="16" t="n">
        <v>450</v>
      </c>
      <c r="G76" s="14">
        <f>CHOOSE(p_sc,D76,E76,F76)*(1+p_oncost)</f>
        <v/>
      </c>
      <c r="H76" s="15" t="inlineStr">
        <is>
          <t>F: DE 27 art. 382; R: SignatureLex 400-500 al mes; Paylab 1,339-3,228 a tiempo completo</t>
        </is>
      </c>
      <c r="I76" s="14">
        <f>c_lic_m</f>
        <v/>
      </c>
      <c r="J76" s="10" t="inlineStr">
        <is>
          <t>sueldo + cargas laborales</t>
        </is>
      </c>
    </row>
    <row r="77">
      <c r="A77" s="10" t="n">
        <v>2</v>
      </c>
      <c r="B77" s="12" t="inlineStr">
        <is>
          <t>Operador logístico (3PL) licenciado: cuota mínima</t>
        </is>
      </c>
      <c r="C77" s="9" t="inlineStr">
        <is>
          <t>licencia</t>
        </is>
      </c>
      <c r="D77" s="16" t="n">
        <v>1200</v>
      </c>
      <c r="E77" s="16" t="n">
        <v>600</v>
      </c>
      <c r="F77" s="16" t="n">
        <v>300</v>
      </c>
      <c r="G77" s="14">
        <f>CHOOSE(p_sc,D77,E77,F77)*(1+p_itbms_srv)</f>
        <v/>
      </c>
      <c r="H77" s="15" t="inlineStr">
        <is>
          <t>E: sin tarifa pública; cotizaciones pedidas</t>
        </is>
      </c>
      <c r="I77" s="14">
        <f>c_lic_m</f>
        <v/>
      </c>
      <c r="J77" s="10" t="inlineStr">
        <is>
          <t>servicio + ITBMS</t>
        </is>
      </c>
    </row>
    <row r="78">
      <c r="A78" s="10" t="n">
        <v>3</v>
      </c>
      <c r="B78" s="12" t="inlineStr">
        <is>
          <t>Contabilidad e impuestos</t>
        </is>
      </c>
      <c r="C78" s="9" t="inlineStr">
        <is>
          <t>mes 1</t>
        </is>
      </c>
      <c r="D78" s="16" t="n">
        <v>450</v>
      </c>
      <c r="E78" s="16" t="n">
        <v>300</v>
      </c>
      <c r="F78" s="16" t="n">
        <v>200</v>
      </c>
      <c r="G78" s="14">
        <f>CHOOSE(p_sc,D78,E78,F78)*(1+p_itbms_srv)</f>
        <v/>
      </c>
      <c r="H78" s="15" t="inlineStr">
        <is>
          <t>R: Healy Consultants 2026, unos 192 al mes; E</t>
        </is>
      </c>
      <c r="I78" s="14">
        <f>1</f>
        <v/>
      </c>
      <c r="J78" s="10" t="inlineStr">
        <is>
          <t>servicio + ITBMS</t>
        </is>
      </c>
    </row>
    <row r="79">
      <c r="A79" s="10" t="n">
        <v>4</v>
      </c>
      <c r="B79" s="12" t="inlineStr">
        <is>
          <t>Auditoría anual de estados financieros, prorrateada</t>
        </is>
      </c>
      <c r="C79" s="9" t="inlineStr">
        <is>
          <t>mes 1</t>
        </is>
      </c>
      <c r="D79" s="16" t="n">
        <v>400</v>
      </c>
      <c r="E79" s="16" t="n">
        <v>250</v>
      </c>
      <c r="F79" s="16" t="n">
        <v>150</v>
      </c>
      <c r="G79" s="14">
        <f>CHOOSE(p_sc,D79,E79,F79)*(1+p_itbms_srv)</f>
        <v/>
      </c>
      <c r="H79" s="15" t="inlineStr">
        <is>
          <t>F: el Registro Nacional de Oferentes pide solvencia certificada por CPA o banco (DE 27 arts. 724-725); E: costo</t>
        </is>
      </c>
      <c r="I79" s="14">
        <f>1</f>
        <v/>
      </c>
      <c r="J79" s="10" t="inlineStr">
        <is>
          <t>servicio + ITBMS</t>
        </is>
      </c>
    </row>
    <row r="80">
      <c r="A80" s="10" t="n">
        <v>5</v>
      </c>
      <c r="B80" s="12" t="inlineStr">
        <is>
          <t>Asesoría legal por hora (sin iguala)</t>
        </is>
      </c>
      <c r="C80" s="9" t="inlineStr">
        <is>
          <t>mes 1</t>
        </is>
      </c>
      <c r="D80" s="16" t="n">
        <v>800</v>
      </c>
      <c r="E80" s="16" t="n">
        <v>300</v>
      </c>
      <c r="F80" s="16" t="n">
        <v>150</v>
      </c>
      <c r="G80" s="14">
        <f>CHOOSE(p_sc,D80,E80,F80)*(1+p_itbms_srv)</f>
        <v/>
      </c>
      <c r="H80" s="15" t="inlineStr">
        <is>
          <t>R: SignatureLex B/.300 por hora; E: horas</t>
        </is>
      </c>
      <c r="I80" s="14">
        <f>1</f>
        <v/>
      </c>
      <c r="J80" s="10" t="inlineStr">
        <is>
          <t>servicio + ITBMS</t>
        </is>
      </c>
    </row>
    <row r="81">
      <c r="A81" s="10" t="n">
        <v>6</v>
      </c>
      <c r="B81" s="12" t="inlineStr">
        <is>
          <t>Coordinador de licitaciones y operaciones (medio tiempo, desde la licencia)</t>
        </is>
      </c>
      <c r="C81" s="9" t="inlineStr">
        <is>
          <t>licencia</t>
        </is>
      </c>
      <c r="D81" s="16" t="n">
        <v>1000</v>
      </c>
      <c r="E81" s="16" t="n">
        <v>700</v>
      </c>
      <c r="F81" s="16" t="n">
        <v>550</v>
      </c>
      <c r="G81" s="14">
        <f>CHOOSE(p_sc,D81,E81,F81)*(1+p_oncost)</f>
        <v/>
      </c>
      <c r="H81" s="15" t="inlineStr">
        <is>
          <t>R: Konzerta mayo de 2026, semi-senior a jefatura US$1,033-1,291 a tiempo completo; a medio tiempo</t>
        </is>
      </c>
      <c r="I81" s="14">
        <f>c_lic_m</f>
        <v/>
      </c>
      <c r="J81" s="10" t="inlineStr">
        <is>
          <t>sueldo + cargas laborales</t>
        </is>
      </c>
    </row>
    <row r="82">
      <c r="A82" s="10" t="n">
        <v>7</v>
      </c>
      <c r="B82" s="12" t="inlineStr">
        <is>
          <t>Coordinador: paso a tiempo completo desde el primer contrato centralizado</t>
        </is>
      </c>
      <c r="C82" s="9" t="inlineStr">
        <is>
          <t>1er contrato centralizado</t>
        </is>
      </c>
      <c r="D82" s="16" t="n">
        <v>800</v>
      </c>
      <c r="E82" s="16" t="n">
        <v>600</v>
      </c>
      <c r="F82" s="16" t="n">
        <v>450</v>
      </c>
      <c r="G82" s="14">
        <f>CHOOSE(p_sc,D82,E82,F82)*(1+p_oncost)</f>
        <v/>
      </c>
      <c r="H82" s="15" t="inlineStr">
        <is>
          <t>R: diferencia entre tiempo completo (1,800 / 1,300 / 1,000) y medio tiempo</t>
        </is>
      </c>
      <c r="I82" s="14">
        <f>c_cen_start</f>
        <v/>
      </c>
      <c r="J82" s="10" t="inlineStr">
        <is>
          <t>sueldo + cargas laborales</t>
        </is>
      </c>
    </row>
    <row r="83">
      <c r="A83" s="10" t="n">
        <v>8</v>
      </c>
      <c r="B83" s="12" t="inlineStr">
        <is>
          <t>Farmacovigilancia: responsable designado y diccionarios MedDRA y WHODrug</t>
        </is>
      </c>
      <c r="C83" s="9" t="inlineStr">
        <is>
          <t>licencia</t>
        </is>
      </c>
      <c r="D83" s="16" t="n">
        <v>300</v>
      </c>
      <c r="E83" s="16" t="n">
        <v>150</v>
      </c>
      <c r="F83" s="16" t="n">
        <v>75</v>
      </c>
      <c r="G83" s="14">
        <f>CHOOSE(p_sc,D83,E83,F83)*(1+p_itbms_srv)</f>
        <v/>
      </c>
      <c r="H83" s="15" t="inlineStr">
        <is>
          <t>F: DE 27 arts. 257, 318 y 319; E: costo (sin tarifa pública)</t>
        </is>
      </c>
      <c r="I83" s="14">
        <f>c_lic_m</f>
        <v/>
      </c>
      <c r="J83" s="10" t="inlineStr">
        <is>
          <t>servicio + ITBMS</t>
        </is>
      </c>
    </row>
    <row r="84">
      <c r="A84" s="10" t="n">
        <v>9</v>
      </c>
      <c r="B84" s="12" t="inlineStr">
        <is>
          <t>Seguros (responsabilidad civil y de producto)</t>
        </is>
      </c>
      <c r="C84" s="9" t="inlineStr">
        <is>
          <t>licencia</t>
        </is>
      </c>
      <c r="D84" s="16" t="n">
        <v>200</v>
      </c>
      <c r="E84" s="16" t="n">
        <v>100</v>
      </c>
      <c r="F84" s="16" t="n">
        <v>75</v>
      </c>
      <c r="G84" s="14">
        <f>CHOOSE(p_sc,D84,E84,F84)</f>
        <v/>
      </c>
      <c r="H84" s="15" t="inlineStr">
        <is>
          <t>E: sin tarifa pública</t>
        </is>
      </c>
      <c r="I84" s="14">
        <f>c_lic_m</f>
        <v/>
      </c>
      <c r="J84" s="10" t="inlineStr">
        <is>
          <t>otro</t>
        </is>
      </c>
    </row>
    <row r="85">
      <c r="A85" s="10" t="n">
        <v>10</v>
      </c>
      <c r="B85" s="12" t="inlineStr">
        <is>
          <t>Software, banca, telecomunicaciones y administración</t>
        </is>
      </c>
      <c r="C85" s="9" t="inlineStr">
        <is>
          <t>mes 1</t>
        </is>
      </c>
      <c r="D85" s="16" t="n">
        <v>200</v>
      </c>
      <c r="E85" s="16" t="n">
        <v>120</v>
      </c>
      <c r="F85" s="16" t="n">
        <v>80</v>
      </c>
      <c r="G85" s="14">
        <f>CHOOSE(p_sc,D85,E85,F85)*(1+p_itbms_srv)</f>
        <v/>
      </c>
      <c r="H85" s="15" t="inlineStr">
        <is>
          <t>E</t>
        </is>
      </c>
      <c r="I85" s="14">
        <f>1</f>
        <v/>
      </c>
      <c r="J85" s="10" t="inlineStr">
        <is>
          <t>servicio + ITBMS</t>
        </is>
      </c>
    </row>
    <row r="86">
      <c r="A86" s="10" t="n">
        <v>11</v>
      </c>
      <c r="B86" s="12" t="inlineStr">
        <is>
          <t>Impuesto municipal</t>
        </is>
      </c>
      <c r="C86" s="9" t="inlineStr">
        <is>
          <t>mes 1</t>
        </is>
      </c>
      <c r="D86" s="16" t="n">
        <v>200</v>
      </c>
      <c r="E86" s="16" t="n">
        <v>100</v>
      </c>
      <c r="F86" s="16" t="n">
        <v>100</v>
      </c>
      <c r="G86" s="14">
        <f>CHOOSE(p_sc,D86,E86,F86)</f>
        <v/>
      </c>
      <c r="H86" s="15" t="inlineStr">
        <is>
          <t>E: tramo por confirmar con el municipio</t>
        </is>
      </c>
      <c r="I86" s="14">
        <f>1</f>
        <v/>
      </c>
      <c r="J86" s="10" t="inlineStr">
        <is>
          <t>otro</t>
        </is>
      </c>
    </row>
    <row r="87">
      <c r="B87" s="7" t="inlineStr">
        <is>
          <t>Total costos fijos a plena operación</t>
        </is>
      </c>
      <c r="G87" s="24">
        <f>SUM(G76:G86)</f>
        <v/>
      </c>
    </row>
    <row r="89">
      <c r="A89" s="23" t="inlineStr">
        <is>
          <t>Gastos de arranque, una sola vez (B/.)</t>
        </is>
      </c>
    </row>
    <row r="90">
      <c r="A90" s="11" t="inlineStr">
        <is>
          <t>#</t>
        </is>
      </c>
      <c r="B90" s="11" t="inlineStr">
        <is>
          <t>Concepto</t>
        </is>
      </c>
      <c r="C90" s="11" t="inlineStr">
        <is>
          <t>Mes</t>
        </is>
      </c>
      <c r="D90" s="11" t="inlineStr">
        <is>
          <t>Pesimista</t>
        </is>
      </c>
      <c r="E90" s="11" t="inlineStr">
        <is>
          <t>Base</t>
        </is>
      </c>
      <c r="F90" s="11" t="inlineStr">
        <is>
          <t>Optimista</t>
        </is>
      </c>
      <c r="G90" s="11" t="inlineStr">
        <is>
          <t>Usado (con ITBMS)</t>
        </is>
      </c>
      <c r="H90" s="11" t="inlineStr">
        <is>
          <t>Fuente o base</t>
        </is>
      </c>
      <c r="I90" s="11" t="inlineStr">
        <is>
          <t>SignatureLex</t>
        </is>
      </c>
      <c r="J90" s="11" t="inlineStr">
        <is>
          <t>Tipo</t>
        </is>
      </c>
    </row>
    <row r="91">
      <c r="A91" s="10" t="n">
        <v>1</v>
      </c>
      <c r="B91" s="12" t="inlineStr">
        <is>
          <t>Fase 0: debida diligencia de la fábrica y de los documentos (antes de constituir)</t>
        </is>
      </c>
      <c r="C91" s="16" t="n">
        <v>0</v>
      </c>
      <c r="D91" s="16" t="n">
        <v>6000</v>
      </c>
      <c r="E91" s="16" t="n">
        <v>2500</v>
      </c>
      <c r="F91" s="16" t="n">
        <v>1000</v>
      </c>
      <c r="G91" s="14">
        <f>IF(AND(p_sl=1,I91&gt;0),I91,CHOOSE(p_sc,D91,E91,F91))*(1+p_itbms_srv)</f>
        <v/>
      </c>
      <c r="H91" s="15" t="inlineStr">
        <is>
          <t>E: auditoría virtual de planta y verificación documental</t>
        </is>
      </c>
      <c r="I91" s="16" t="n">
        <v>0</v>
      </c>
      <c r="J91" s="10" t="inlineStr">
        <is>
          <t>servicio + ITBMS</t>
        </is>
      </c>
    </row>
    <row r="92">
      <c r="A92" s="10" t="n">
        <v>2</v>
      </c>
      <c r="B92" s="12" t="inlineStr">
        <is>
          <t>Fase 0: opinión legal escrita sobre la Ley 316 (parentesco), de un abogado independiente</t>
        </is>
      </c>
      <c r="C92" s="16" t="n">
        <v>0</v>
      </c>
      <c r="D92" s="16" t="n">
        <v>1500</v>
      </c>
      <c r="E92" s="16" t="n">
        <v>800</v>
      </c>
      <c r="F92" s="16" t="n">
        <v>500</v>
      </c>
      <c r="G92" s="14">
        <f>IF(AND(p_sl=1,I92&gt;0),I92,CHOOSE(p_sc,D92,E92,F92))*(1+p_itbms_srv)</f>
        <v/>
      </c>
      <c r="H92" s="15" t="inlineStr">
        <is>
          <t>R: SignatureLex B/.300 por hora; E: 2 a 5 horas</t>
        </is>
      </c>
      <c r="I92" s="16" t="n">
        <v>0</v>
      </c>
      <c r="J92" s="10" t="inlineStr">
        <is>
          <t>servicio + ITBMS</t>
        </is>
      </c>
    </row>
    <row r="93">
      <c r="A93" s="10" t="n">
        <v>3</v>
      </c>
      <c r="B93" s="12" t="inlineStr">
        <is>
          <t>Constitución, libros, poderes, RUC, aviso de operación y municipal</t>
        </is>
      </c>
      <c r="C93" s="16" t="n">
        <v>1</v>
      </c>
      <c r="D93" s="16" t="n">
        <v>3500</v>
      </c>
      <c r="E93" s="16" t="n">
        <v>2500</v>
      </c>
      <c r="F93" s="16" t="n">
        <v>1500</v>
      </c>
      <c r="G93" s="14">
        <f>IF(AND(p_sl=1,I93&gt;0),I93,CHOOSE(p_sc,D93,E93,F93))*(1+p_itbms_srv)</f>
        <v/>
      </c>
      <c r="H93" s="15" t="inlineStr">
        <is>
          <t>R: SignatureLex unos 5,700; Expanship US$1,200-2,200 el primer año</t>
        </is>
      </c>
      <c r="I93" s="16" t="n">
        <v>5700</v>
      </c>
      <c r="J93" s="10" t="inlineStr">
        <is>
          <t>servicio + ITBMS</t>
        </is>
      </c>
    </row>
    <row r="94">
      <c r="A94" s="10" t="n">
        <v>4</v>
      </c>
      <c r="B94" s="12" t="inlineStr">
        <is>
          <t>Pacto de accionistas, contrato de suministro exclusivo y acuerdo de calidad</t>
        </is>
      </c>
      <c r="C94" s="16" t="n">
        <v>1</v>
      </c>
      <c r="D94" s="16" t="n">
        <v>6200</v>
      </c>
      <c r="E94" s="16" t="n">
        <v>2500</v>
      </c>
      <c r="F94" s="16" t="n">
        <v>1500</v>
      </c>
      <c r="G94" s="14">
        <f>IF(AND(p_sl=1,I94&gt;0),I94,CHOOSE(p_sc,D94,E94,F94))*(1+p_itbms_srv)</f>
        <v/>
      </c>
      <c r="H94" s="15" t="inlineStr">
        <is>
          <t>R: escala de SignatureLex (B/.1,500 más 1% escalonado)</t>
        </is>
      </c>
      <c r="I94" s="16" t="n">
        <v>1750</v>
      </c>
      <c r="J94" s="10" t="inlineStr">
        <is>
          <t>servicio + ITBMS</t>
        </is>
      </c>
    </row>
    <row r="95">
      <c r="A95" s="10" t="n">
        <v>5</v>
      </c>
      <c r="B95" s="12" t="inlineStr">
        <is>
          <t>Diagnóstico regulatorio y matriz de portafolio</t>
        </is>
      </c>
      <c r="C95" s="16" t="n">
        <v>1</v>
      </c>
      <c r="D95" s="16" t="n">
        <v>650</v>
      </c>
      <c r="E95" s="16" t="n">
        <v>650</v>
      </c>
      <c r="F95" s="16" t="n">
        <v>500</v>
      </c>
      <c r="G95" s="14">
        <f>IF(AND(p_sl=1,I95&gt;0),I95,CHOOSE(p_sc,D95,E95,F95))*(1+p_itbms_srv)</f>
        <v/>
      </c>
      <c r="H95" s="15" t="inlineStr">
        <is>
          <t>R: SignatureLex 500 + 150</t>
        </is>
      </c>
      <c r="I95" s="16" t="n">
        <v>650</v>
      </c>
      <c r="J95" s="10" t="inlineStr">
        <is>
          <t>servicio + ITBMS</t>
        </is>
      </c>
    </row>
    <row r="96">
      <c r="A96" s="10" t="n">
        <v>6</v>
      </c>
      <c r="B96" s="12" t="inlineStr">
        <is>
          <t>Apoyo para abrir la cuenta bancaria</t>
        </is>
      </c>
      <c r="C96" s="16" t="n">
        <v>1</v>
      </c>
      <c r="D96" s="16" t="n">
        <v>3150</v>
      </c>
      <c r="E96" s="16" t="n">
        <v>300</v>
      </c>
      <c r="F96" s="16" t="n">
        <v>0</v>
      </c>
      <c r="G96" s="14">
        <f>IF(AND(p_sl=1,I96&gt;0),I96,CHOOSE(p_sc,D96,E96,F96))*(1+p_itbms_srv)</f>
        <v/>
      </c>
      <c r="H96" s="15" t="inlineStr">
        <is>
          <t>R: SignatureLex 3,000 + 150; E: base</t>
        </is>
      </c>
      <c r="I96" s="16" t="n">
        <v>3150</v>
      </c>
      <c r="J96" s="10" t="inlineStr">
        <is>
          <t>servicio + ITBMS</t>
        </is>
      </c>
    </row>
    <row r="97">
      <c r="A97" s="10" t="n">
        <v>7</v>
      </c>
      <c r="B97" s="12" t="inlineStr">
        <is>
          <t>Licencia de operación: tasa oficial 250 + planos, procedimientos e inspección</t>
        </is>
      </c>
      <c r="C97" s="16" t="n">
        <v>2</v>
      </c>
      <c r="D97" s="16" t="n">
        <v>4000</v>
      </c>
      <c r="E97" s="16" t="n">
        <v>1750</v>
      </c>
      <c r="F97" s="16" t="n">
        <v>1000</v>
      </c>
      <c r="G97" s="14">
        <f>IF(AND(p_sl=1,I97&gt;0),I97,CHOOSE(p_sc,D97,E97,F97))*(1+p_itbms_srv)</f>
        <v/>
      </c>
      <c r="H97" s="15" t="inlineStr">
        <is>
          <t>F: DE 27 art. 15 (200 + 50); R: SignatureLex 3,500 + 500</t>
        </is>
      </c>
      <c r="I97" s="16" t="n">
        <v>4000</v>
      </c>
      <c r="J97" s="10" t="inlineStr">
        <is>
          <t>servicio + ITBMS</t>
        </is>
      </c>
    </row>
    <row r="98">
      <c r="A98" s="10" t="n">
        <v>8</v>
      </c>
      <c r="B98" s="12" t="inlineStr">
        <is>
          <t>Revisión del 3PL y acuerdo de calidad</t>
        </is>
      </c>
      <c r="C98" s="16" t="n">
        <v>2</v>
      </c>
      <c r="D98" s="16" t="n">
        <v>2650</v>
      </c>
      <c r="E98" s="16" t="n">
        <v>750</v>
      </c>
      <c r="F98" s="16" t="n">
        <v>400</v>
      </c>
      <c r="G98" s="14">
        <f>IF(AND(p_sl=1,I98&gt;0),I98,CHOOSE(p_sc,D98,E98,F98))*(1+p_itbms_srv)</f>
        <v/>
      </c>
      <c r="H98" s="15" t="inlineStr">
        <is>
          <t>R: SignatureLex 2,500 + 150; E: base</t>
        </is>
      </c>
      <c r="I98" s="16" t="n">
        <v>2650</v>
      </c>
      <c r="J98" s="10" t="inlineStr">
        <is>
          <t>servicio + ITBMS</t>
        </is>
      </c>
    </row>
    <row r="99">
      <c r="A99" s="10" t="n">
        <v>9</v>
      </c>
      <c r="B99" s="12" t="inlineStr">
        <is>
          <t>Programa de cumplimiento y anticorrupción</t>
        </is>
      </c>
      <c r="C99" s="16" t="n">
        <v>2</v>
      </c>
      <c r="D99" s="16" t="n">
        <v>3150</v>
      </c>
      <c r="E99" s="16" t="n">
        <v>1500</v>
      </c>
      <c r="F99" s="16" t="n">
        <v>800</v>
      </c>
      <c r="G99" s="14">
        <f>IF(AND(p_sl=1,I99&gt;0),I99,CHOOSE(p_sc,D99,E99,F99))*(1+p_itbms_srv)</f>
        <v/>
      </c>
      <c r="H99" s="15" t="inlineStr">
        <is>
          <t>R: SignatureLex 3,000 + 150</t>
        </is>
      </c>
      <c r="I99" s="16" t="n">
        <v>3150</v>
      </c>
      <c r="J99" s="10" t="inlineStr">
        <is>
          <t>servicio + ITBMS</t>
        </is>
      </c>
    </row>
    <row r="100">
      <c r="A100" s="10" t="n">
        <v>10</v>
      </c>
      <c r="B100" s="12" t="inlineStr">
        <is>
          <t>Certificado de buenas prácticas de almacenamiento</t>
        </is>
      </c>
      <c r="C100" s="16" t="n">
        <v>3</v>
      </c>
      <c r="D100" s="16" t="n">
        <v>100</v>
      </c>
      <c r="E100" s="16" t="n">
        <v>100</v>
      </c>
      <c r="F100" s="16" t="n">
        <v>100</v>
      </c>
      <c r="G100" s="14">
        <f>IF(AND(p_sl=1,I100&gt;0),I100,CHOOSE(p_sc,D100,E100,F100))</f>
        <v/>
      </c>
      <c r="H100" s="15" t="inlineStr">
        <is>
          <t>F: DE 27 art. 15</t>
        </is>
      </c>
      <c r="I100" s="16" t="n">
        <v>100</v>
      </c>
      <c r="J100" s="10" t="inlineStr">
        <is>
          <t>otro</t>
        </is>
      </c>
    </row>
    <row r="101">
      <c r="A101" s="10" t="n">
        <v>11</v>
      </c>
      <c r="B101" s="12" t="inlineStr">
        <is>
          <t>Registro patronal en la CSS y contratos laborales</t>
        </is>
      </c>
      <c r="C101" s="16" t="n">
        <v>3</v>
      </c>
      <c r="D101" s="16" t="n">
        <v>900</v>
      </c>
      <c r="E101" s="16" t="n">
        <v>300</v>
      </c>
      <c r="F101" s="16" t="n">
        <v>100</v>
      </c>
      <c r="G101" s="14">
        <f>IF(AND(p_sl=1,I101&gt;0),I101,CHOOSE(p_sc,D101,E101,F101))*(1+p_itbms_srv)</f>
        <v/>
      </c>
      <c r="H101" s="15" t="inlineStr">
        <is>
          <t>R: SignatureLex 750 + 150</t>
        </is>
      </c>
      <c r="I101" s="16" t="n">
        <v>900</v>
      </c>
      <c r="J101" s="10" t="inlineStr">
        <is>
          <t>servicio + ITBMS</t>
        </is>
      </c>
    </row>
    <row r="102">
      <c r="A102" s="10" t="n">
        <v>12</v>
      </c>
      <c r="B102" s="12" t="inlineStr">
        <is>
          <t>PanamaCompra, Registro Nacional de Oferentes y proveedor de la CSS</t>
        </is>
      </c>
      <c r="C102" s="16" t="n">
        <v>4</v>
      </c>
      <c r="D102" s="16" t="n">
        <v>2700</v>
      </c>
      <c r="E102" s="16" t="n">
        <v>500</v>
      </c>
      <c r="F102" s="16" t="n">
        <v>0</v>
      </c>
      <c r="G102" s="14">
        <f>IF(AND(p_sl=1,I102&gt;0),I102,CHOOSE(p_sc,D102,E102,F102))*(1+p_itbms_srv)</f>
        <v/>
      </c>
      <c r="H102" s="15" t="inlineStr">
        <is>
          <t>F: trámites sin tasa oficial; R: SignatureLex 3 x (750 + 150)</t>
        </is>
      </c>
      <c r="I102" s="16" t="n">
        <v>2700</v>
      </c>
      <c r="J102" s="10" t="inlineStr">
        <is>
          <t>servicio + ITBMS</t>
        </is>
      </c>
    </row>
    <row r="103">
      <c r="B103" s="7" t="inlineStr">
        <is>
          <t>Total arranque (incluye fase 0)</t>
        </is>
      </c>
      <c r="G103" s="24">
        <f>SUM(G91:G102)</f>
        <v/>
      </c>
    </row>
    <row r="104">
      <c r="B104" s="7" t="inlineStr">
        <is>
          <t>Fase 0 (filas con mes 0)</t>
        </is>
      </c>
      <c r="G104" s="24">
        <f>SUMIF(u_month,0,u_used)</f>
        <v/>
      </c>
    </row>
    <row r="106">
      <c r="A106" s="23" t="inlineStr">
        <is>
          <t>Cargos anuales (meses 1, 13, 25, 37 y 49; el aviso de operación se calcula aparte sobre el patrimonio)</t>
        </is>
      </c>
    </row>
    <row r="107">
      <c r="B107" s="9" t="inlineStr">
        <is>
          <t>Tasa única de la S.A.</t>
        </is>
      </c>
      <c r="E107" s="16" t="n">
        <v>300</v>
      </c>
      <c r="G107" s="14">
        <f>E107</f>
        <v/>
      </c>
      <c r="H107" s="10" t="inlineStr">
        <is>
          <t>F: DGI</t>
        </is>
      </c>
      <c r="J107" s="10" t="inlineStr">
        <is>
          <t>otro</t>
        </is>
      </c>
    </row>
    <row r="108">
      <c r="B108" s="9" t="inlineStr">
        <is>
          <t>Agente residente</t>
        </is>
      </c>
      <c r="E108" s="16" t="n">
        <v>350</v>
      </c>
      <c r="G108" s="14">
        <f>E108*(1+p_itbms_srv)</f>
        <v/>
      </c>
      <c r="H108" s="10" t="inlineStr">
        <is>
          <t>R: SignatureLex B/.350 al año; mercado US$150-800</t>
        </is>
      </c>
      <c r="J108" s="10" t="inlineStr">
        <is>
          <t>servicio + ITBMS</t>
        </is>
      </c>
    </row>
    <row r="109">
      <c r="B109" s="9" t="inlineStr">
        <is>
          <t>Renovación de la licencia de operación (B/.200 cada 2 años)</t>
        </is>
      </c>
      <c r="E109" s="16" t="n">
        <v>100</v>
      </c>
      <c r="G109" s="14">
        <f>E109</f>
        <v/>
      </c>
      <c r="H109" s="10" t="inlineStr">
        <is>
          <t>F: DE 27 arts. 15 y 398</t>
        </is>
      </c>
      <c r="J109" s="10" t="inlineStr">
        <is>
          <t>otro</t>
        </is>
      </c>
    </row>
    <row r="110">
      <c r="B110" s="7" t="inlineStr">
        <is>
          <t>Total cargos anuales</t>
        </is>
      </c>
      <c r="G110" s="24">
        <f>SUM(G107:G109)</f>
        <v/>
      </c>
    </row>
    <row r="112">
      <c r="A112" s="23" t="inlineStr">
        <is>
          <t>Valores calculados (no editar)</t>
        </is>
      </c>
    </row>
    <row r="113">
      <c r="A113" s="10" t="inlineStr">
        <is>
          <t>c_lic_m</t>
        </is>
      </c>
      <c r="B113" s="9" t="inlineStr">
        <is>
          <t>Mes de la licencia de operación</t>
        </is>
      </c>
      <c r="G113" s="14">
        <f>3</f>
        <v/>
      </c>
    </row>
    <row r="114">
      <c r="A114" s="10" t="inlineStr">
        <is>
          <t>c_rs_pay_m</t>
        </is>
      </c>
      <c r="B114" s="9" t="inlineStr">
        <is>
          <t>Mes en que se pagan los registros de la primera ola</t>
        </is>
      </c>
      <c r="G114" s="14">
        <f>3</f>
        <v/>
      </c>
    </row>
    <row r="115">
      <c r="A115" s="10" t="inlineStr">
        <is>
          <t>c_lead_m</t>
        </is>
      </c>
      <c r="B115" s="9" t="inlineStr">
        <is>
          <t>Tiempo de reposición (meses)</t>
        </is>
      </c>
      <c r="G115" s="14">
        <f>ROUND(p_lead_days/30,0)</f>
        <v/>
      </c>
    </row>
    <row r="116">
      <c r="A116" s="10" t="inlineStr">
        <is>
          <t>c_dso_m</t>
        </is>
      </c>
      <c r="B116" s="9" t="inlineStr">
        <is>
          <t>Días de cobro (meses)</t>
        </is>
      </c>
      <c r="G116" s="14">
        <f>ROUND(p_dso_days/30,0)</f>
        <v/>
      </c>
    </row>
    <row r="117">
      <c r="A117" s="10" t="inlineStr">
        <is>
          <t>c_credit_m</t>
        </is>
      </c>
      <c r="B117" s="9" t="inlineStr">
        <is>
          <t>Crédito del proveedor (meses)</t>
        </is>
      </c>
      <c r="G117" s="14">
        <f>ROUND(p_credit_days/30,0)</f>
        <v/>
      </c>
    </row>
    <row r="118">
      <c r="A118" s="10" t="inlineStr">
        <is>
          <t>c_ship_m</t>
        </is>
      </c>
      <c r="B118" s="9" t="inlineStr">
        <is>
          <t>Embarque a stock (meses)</t>
        </is>
      </c>
      <c r="G118" s="14">
        <f>ROUND(p_ship_m,0)</f>
        <v/>
      </c>
    </row>
    <row r="119">
      <c r="A119" s="10" t="inlineStr">
        <is>
          <t>c_reg_m</t>
        </is>
      </c>
      <c r="B119" s="9" t="inlineStr">
        <is>
          <t>Mes de registros (entero)</t>
        </is>
      </c>
      <c r="G119" s="14">
        <f>ROUND(p_reg_m,0)</f>
        <v/>
      </c>
    </row>
    <row r="120">
      <c r="A120" s="10" t="inlineStr">
        <is>
          <t>c_first_dec</t>
        </is>
      </c>
      <c r="B120" s="9" t="inlineStr">
        <is>
          <t>Primer mes con ventas descentralizadas</t>
        </is>
      </c>
      <c r="G120" s="14">
        <f>c_reg_m+c_lead_m</f>
        <v/>
      </c>
    </row>
    <row r="121">
      <c r="A121" s="10" t="inlineStr">
        <is>
          <t>c_cen_start</t>
        </is>
      </c>
      <c r="B121" s="9" t="inlineStr">
        <is>
          <t>Primer mes con contrato centralizado (el registro debe existir al ofertar, c_bid_m meses antes)</t>
        </is>
      </c>
      <c r="G121" s="14">
        <f>MAX(ROUND(p_cen_start,0)+15*ROUNDUP(MAX(0,c_reg_m+c_bid_m-ROUND(p_cen_start,0))/15,0),c_first_dec)</f>
        <v/>
      </c>
    </row>
    <row r="122">
      <c r="A122" s="10" t="inlineStr">
        <is>
          <t>c_rt</t>
        </is>
      </c>
      <c r="B122" s="9" t="inlineStr">
        <is>
          <t>Meses de trámite del registro</t>
        </is>
      </c>
      <c r="G122" s="14">
        <f>MAX(c_reg_m-c_rs_pay_m,1)</f>
        <v/>
      </c>
    </row>
    <row r="123">
      <c r="A123" s="10" t="inlineStr">
        <is>
          <t>c_m2</t>
        </is>
      </c>
      <c r="B123" s="9" t="inlineStr">
        <is>
          <t>Mes de registros de la segunda ola</t>
        </is>
      </c>
      <c r="G123" s="14">
        <f>ROUND(p_m2,0)</f>
        <v/>
      </c>
    </row>
    <row r="124">
      <c r="A124" s="10" t="inlineStr">
        <is>
          <t>c_first_dec2</t>
        </is>
      </c>
      <c r="B124" s="9" t="inlineStr">
        <is>
          <t>Primer mes con ventas de la segunda ola</t>
        </is>
      </c>
      <c r="G124" s="14">
        <f>c_m2+c_rt+c_lead_m</f>
        <v/>
      </c>
    </row>
    <row r="125">
      <c r="A125" s="10" t="inlineStr">
        <is>
          <t>c_c2_lpu</t>
        </is>
      </c>
      <c r="B125" s="9" t="inlineStr">
        <is>
          <t>Primer contrato de la LPU con productos de la segunda ola (siguiente ciclo de 15 meses)</t>
        </is>
      </c>
      <c r="G125" s="14">
        <f>c_cen_start+15*ROUNDUP(MAX(0,MAX(c_first_dec2,c_m2+c_rt+c_bid_m)-c_cen_start)/15,0)</f>
        <v/>
      </c>
    </row>
    <row r="126">
      <c r="A126" s="10" t="inlineStr">
        <is>
          <t>c_c2_minsa</t>
        </is>
      </c>
      <c r="B126" s="9" t="inlineStr">
        <is>
          <t>Primer contrato del MINSA con productos de la segunda ola (siguiente ciclo de 12 meses)</t>
        </is>
      </c>
      <c r="G126" s="14">
        <f>c_cen_start+12*ROUNDUP(MAX(0,MAX(c_first_dec2,c_m2+c_rt+1)-c_cen_start)/12,0)</f>
        <v/>
      </c>
    </row>
    <row r="127">
      <c r="A127" s="10" t="inlineStr">
        <is>
          <t>c_n1</t>
        </is>
      </c>
      <c r="B127" s="9" t="inlineStr">
        <is>
          <t>Productos presentados en la primera ola</t>
        </is>
      </c>
      <c r="G127" s="14">
        <f>MAX(SUM(SKUs!$D$6:$D$24),1)</f>
        <v/>
      </c>
    </row>
    <row r="128">
      <c r="A128" s="10" t="inlineStr">
        <is>
          <t>c_k2</t>
        </is>
      </c>
      <c r="B128" s="9" t="inlineStr">
        <is>
          <t>Factor de escala de la segunda ola</t>
        </is>
      </c>
      <c r="G128" s="18">
        <f>p_n2*p_rel2/c_n1</f>
        <v/>
      </c>
    </row>
    <row r="129">
      <c r="A129" s="10" t="inlineStr">
        <is>
          <t>c_rs_unit</t>
        </is>
      </c>
      <c r="B129" s="9" t="inlineStr">
        <is>
          <t>Costo total por registro (B/.; ITBMS sobre abogado y traducciones)</t>
        </is>
      </c>
      <c r="G129" s="14">
        <f>p_rs_off+p_rs_iea+(p_rs_law+p_rs_trad)*(1+p_itbms_srv)+p_rs_smp</f>
        <v/>
      </c>
    </row>
    <row r="130">
      <c r="A130" s="10" t="inlineStr">
        <is>
          <t>c_bid_m</t>
        </is>
      </c>
      <c r="B130" s="9" t="inlineStr">
        <is>
          <t>Meses de colateral de la fianza de propuesta (entero)</t>
        </is>
      </c>
      <c r="G130" s="14">
        <f>ROUND(p_bid_m,0)</f>
        <v/>
      </c>
    </row>
    <row r="131">
      <c r="A131" s="10" t="inlineStr">
        <is>
          <t>c_n_reg1</t>
        </is>
      </c>
      <c r="B131" s="9" t="inlineStr">
        <is>
          <t>Registros aprobados esperados, primera ola</t>
        </is>
      </c>
      <c r="G131" s="14">
        <f>SUM(SKUs!$D$6:$D$24)*p_rs_succ</f>
        <v/>
      </c>
    </row>
    <row r="132">
      <c r="A132" s="10" t="inlineStr">
        <is>
          <t>c_n_reg2</t>
        </is>
      </c>
      <c r="B132" s="9" t="inlineStr">
        <is>
          <t>Registros aprobados esperados, segunda ola</t>
        </is>
      </c>
      <c r="G132" s="14">
        <f>p_n2*p_rs_succ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11" customWidth="1" min="5" max="5"/>
    <col width="11" customWidth="1" min="6" max="6"/>
    <col width="3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>
        <is>
          <t>Portafolio y economía por producto</t>
        </is>
      </c>
    </row>
    <row r="2">
      <c r="A2" s="10" t="inlineStr">
        <is>
          <t>Demanda pública anualizada (LPU 01-2026; subasta del MINSA de 2026 o compra conjunta de 2023 x p_cc_w; compras menores 2025-2026 con precio ponderado). Ventas a madurez antes de rampa y erosión.</t>
        </is>
      </c>
    </row>
    <row r="3">
      <c r="A3" s="10" t="inlineStr">
        <is>
          <t>Canales: LPU = licitación de precio único de la CSS; MINSA central = subasta en reversa o compra conjunta; desc. = contratación menor y compra menor ágil. Costo = referencia FOB x índice x (1 + empaque) + logística.</t>
        </is>
      </c>
    </row>
    <row r="5" ht="60" customHeight="1">
      <c r="A5" s="11" t="inlineStr">
        <is>
          <t>ID</t>
        </is>
      </c>
      <c r="B5" s="11" t="inlineStr">
        <is>
          <t>Producto</t>
        </is>
      </c>
      <c r="C5" s="11" t="inlineStr">
        <is>
          <t>Grupo</t>
        </is>
      </c>
      <c r="D5" s="11" t="inlineStr">
        <is>
          <t>Incluir (1/0)</t>
        </is>
      </c>
      <c r="E5" s="11" t="inlineStr">
        <is>
          <t>FOB base (B/./u)</t>
        </is>
      </c>
      <c r="F5" s="11" t="inlineStr">
        <is>
          <t>Logística (B/./u)</t>
        </is>
      </c>
      <c r="G5" s="11" t="inlineStr">
        <is>
          <t>Fuente del costo</t>
        </is>
      </c>
      <c r="H5" s="11" t="inlineStr">
        <is>
          <t>CSS LPU: unid./año</t>
        </is>
      </c>
      <c r="I5" s="11" t="inlineStr">
        <is>
          <t>CSS LPU: precio</t>
        </is>
      </c>
      <c r="J5" s="11" t="inlineStr">
        <is>
          <t>MINSA central: unid./año</t>
        </is>
      </c>
      <c r="K5" s="11" t="inlineStr">
        <is>
          <t>MINSA central: precio</t>
        </is>
      </c>
      <c r="L5" s="11" t="inlineStr">
        <is>
          <t>CSS desc.: unid./año</t>
        </is>
      </c>
      <c r="M5" s="11" t="inlineStr">
        <is>
          <t>CSS desc.: precio</t>
        </is>
      </c>
      <c r="N5" s="11" t="inlineStr">
        <is>
          <t>MINSA/patronatos desc.: unid./año</t>
        </is>
      </c>
      <c r="O5" s="11" t="inlineStr">
        <is>
          <t>MINSA/patronatos desc.: precio</t>
        </is>
      </c>
      <c r="P5" s="11" t="inlineStr">
        <is>
          <t>Costo puesto en Panamá</t>
        </is>
      </c>
      <c r="Q5" s="11" t="inlineStr">
        <is>
          <t>Precio oferta LPU</t>
        </is>
      </c>
      <c r="R5" s="11" t="inlineStr">
        <is>
          <t>Precio oferta MINSA central</t>
        </is>
      </c>
      <c r="S5" s="11" t="inlineStr">
        <is>
          <t>Precio oferta CSS desc.</t>
        </is>
      </c>
      <c r="T5" s="11" t="inlineStr">
        <is>
          <t>Precio oferta MINSA desc.</t>
        </is>
      </c>
      <c r="U5" s="11" t="inlineStr">
        <is>
          <t>Margen LPU</t>
        </is>
      </c>
      <c r="V5" s="11" t="inlineStr">
        <is>
          <t>Margen MINSA central</t>
        </is>
      </c>
      <c r="W5" s="11" t="inlineStr">
        <is>
          <t>Margen CSS desc.</t>
        </is>
      </c>
      <c r="X5" s="11" t="inlineStr">
        <is>
          <t>Margen MINSA desc.</t>
        </is>
      </c>
      <c r="Y5" s="11" t="inlineStr">
        <is>
          <t>Oferta LPU</t>
        </is>
      </c>
      <c r="Z5" s="11" t="inlineStr">
        <is>
          <t>Oferta MINSA central</t>
        </is>
      </c>
      <c r="AA5" s="11" t="inlineStr">
        <is>
          <t>Oferta CSS desc.</t>
        </is>
      </c>
      <c r="AB5" s="11" t="inlineStr">
        <is>
          <t>Oferta MINSA desc.</t>
        </is>
      </c>
      <c r="AC5" s="11" t="inlineStr">
        <is>
          <t>Ventas CSS desc. (madurez)</t>
        </is>
      </c>
      <c r="AD5" s="11" t="inlineStr">
        <is>
          <t>Ventas MINSA desc. (madurez)</t>
        </is>
      </c>
      <c r="AE5" s="11" t="inlineStr">
        <is>
          <t>Ventas LPU si gana</t>
        </is>
      </c>
      <c r="AF5" s="11" t="inlineStr">
        <is>
          <t>Ventas MINSA central si gana</t>
        </is>
      </c>
      <c r="AG5" s="11" t="inlineStr">
        <is>
          <t>Costo CSS desc.</t>
        </is>
      </c>
      <c r="AH5" s="11" t="inlineStr">
        <is>
          <t>Costo MINSA desc.</t>
        </is>
      </c>
      <c r="AI5" s="11" t="inlineStr">
        <is>
          <t>Costo LPU</t>
        </is>
      </c>
      <c r="AJ5" s="11" t="inlineStr">
        <is>
          <t>Costo MINSA central</t>
        </is>
      </c>
      <c r="AK5" s="11" t="inlineStr">
        <is>
          <t>Ventas esperadas año maduro</t>
        </is>
      </c>
      <c r="AL5" s="11" t="inlineStr">
        <is>
          <t>Utilidad bruta esperada</t>
        </is>
      </c>
      <c r="AM5" s="11" t="inlineStr">
        <is>
          <t>Costo FOB (para Zywie)</t>
        </is>
      </c>
      <c r="AN5" s="11" t="inlineStr">
        <is>
          <t>Oferta LPU con fianza de propuesta (B/./año)</t>
        </is>
      </c>
    </row>
    <row r="6">
      <c r="A6" s="9" t="inlineStr">
        <is>
          <t>PCT500</t>
        </is>
      </c>
      <c r="B6" s="12" t="inlineStr">
        <is>
          <t>Paracetamol 500 mg tableta</t>
        </is>
      </c>
      <c r="C6" s="9" t="inlineStr">
        <is>
          <t>Primera ola</t>
        </is>
      </c>
      <c r="D6" s="25" t="n">
        <v>1</v>
      </c>
      <c r="E6" s="26" t="n">
        <v>0.0038</v>
      </c>
      <c r="F6" s="26" t="n">
        <v>0.00165</v>
      </c>
      <c r="G6" s="12" t="inlineStr">
        <is>
          <t>R: PMBI 2024-27 INR 2.74 por 10, TNMSC 2024 INR 23.48 por 100 y Assam 2025 INR 2.50 por 10; x1.4 = US$0.0034-0.0040; se usa 0.0038; blíster 5.5 cm3</t>
        </is>
      </c>
      <c r="H6" s="16" t="n">
        <v>23770516</v>
      </c>
      <c r="I6" s="26" t="n">
        <v>0.01</v>
      </c>
      <c r="J6" s="16" t="n">
        <v>0</v>
      </c>
      <c r="K6" s="26" t="n">
        <v>0</v>
      </c>
      <c r="L6" s="16" t="n">
        <v>1141333</v>
      </c>
      <c r="M6" s="26" t="n">
        <v>0.02</v>
      </c>
      <c r="N6" s="16" t="n">
        <v>11112486</v>
      </c>
      <c r="O6" s="26" t="n">
        <v>0.0201</v>
      </c>
      <c r="P6" s="27">
        <f>E6*p_sup_idx*(1+p_pack)+F6*p_log_mult</f>
        <v/>
      </c>
      <c r="Q6" s="27">
        <f>I6*p_pf_cen</f>
        <v/>
      </c>
      <c r="R6" s="27">
        <f>K6*p_pf_cen</f>
        <v/>
      </c>
      <c r="S6" s="27">
        <f>M6*p_pf_dec</f>
        <v/>
      </c>
      <c r="T6" s="27">
        <f>O6*p_pf_dec</f>
        <v/>
      </c>
      <c r="U6" s="20">
        <f>IF(Q6&gt;0,1-P6/Q6,-9)</f>
        <v/>
      </c>
      <c r="V6" s="20">
        <f>IF(R6&gt;0,1-P6/R6,-9)</f>
        <v/>
      </c>
      <c r="W6" s="20">
        <f>IF(S6&gt;0,1-P6/S6,-9)</f>
        <v/>
      </c>
      <c r="X6" s="20">
        <f>IF(T6&gt;0,1-P6/T6,-9)</f>
        <v/>
      </c>
      <c r="Y6" s="28">
        <f>IF(AND($D6=1,H6&gt;0,U6&gt;=p_gm_cen),1,0)</f>
        <v/>
      </c>
      <c r="Z6" s="28">
        <f>IF(AND($D6=1,J6&gt;0,V6&gt;=p_gm_cen),1,0)</f>
        <v/>
      </c>
      <c r="AA6" s="28">
        <f>IF(AND($D6=1,L6&gt;0,W6&gt;=p_gm_dec),1,0)</f>
        <v/>
      </c>
      <c r="AB6" s="28">
        <f>IF(AND($D6=1,N6&gt;0,X6&gt;=p_gm_dec),1,0)</f>
        <v/>
      </c>
      <c r="AC6" s="14">
        <f>AA6*L6*p_mkt*S6*p_rs_succ*p_share_dec</f>
        <v/>
      </c>
      <c r="AD6" s="14">
        <f>AB6*N6*p_mkt*T6*p_rs_succ*p_share_dec</f>
        <v/>
      </c>
      <c r="AE6" s="14">
        <f>Y6*H6*p_mkt*Q6*p_rs_succ*p_realiz</f>
        <v/>
      </c>
      <c r="AF6" s="14">
        <f>Z6*J6*p_mkt*R6*p_rs_succ*p_realiz_minsa</f>
        <v/>
      </c>
      <c r="AG6" s="14">
        <f>IF(S6&gt;0,AC6*P6/S6,0)</f>
        <v/>
      </c>
      <c r="AH6" s="14">
        <f>IF(T6&gt;0,AD6*P6/T6,0)</f>
        <v/>
      </c>
      <c r="AI6" s="14">
        <f>IF(Q6&gt;0,AE6*P6/Q6,0)</f>
        <v/>
      </c>
      <c r="AJ6" s="14">
        <f>IF(R6&gt;0,AF6*P6/R6,0)</f>
        <v/>
      </c>
      <c r="AK6" s="14">
        <f>AC6+AD6+AE6*p_pwin_cen+AF6*p_pwin_cen*p_minsa_occ</f>
        <v/>
      </c>
      <c r="AL6" s="14">
        <f>(AC6-AG6)+(AD6-AH6)+(AE6-AI6)*p_pwin_cen+(AF6-AJ6)*p_pwin_cen*p_minsa_occ</f>
        <v/>
      </c>
      <c r="AM6" s="20">
        <f>IF(P6&gt;0,E6*p_sup_idx*(1+p_pack)/P6,0)</f>
        <v/>
      </c>
      <c r="AN6" s="14">
        <f>IF(AND(Y6=1,H6&gt;0),H6*p_mkt*Q6*p_rs_succ,0)</f>
        <v/>
      </c>
    </row>
    <row r="7">
      <c r="A7" s="9" t="inlineStr">
        <is>
          <t>PCTSYR</t>
        </is>
      </c>
      <c r="B7" s="12" t="inlineStr">
        <is>
          <t>Paracetamol 120-160 mg/5 ml jarabe, frasco 120 ml</t>
        </is>
      </c>
      <c r="C7" s="9" t="inlineStr">
        <is>
          <t>Primera ola</t>
        </is>
      </c>
      <c r="D7" s="25" t="n">
        <v>1</v>
      </c>
      <c r="E7" s="26" t="n">
        <v>0.1478</v>
      </c>
      <c r="F7" s="26" t="n">
        <v>0.135</v>
      </c>
      <c r="G7" s="12" t="inlineStr">
        <is>
          <t>R: TNMSC 2024 INR 5.72 y Assam 2025 INR 5.85 por 60 ml; a 120 ml se usa INR 10.2 (factor 1.75 por frasco más grande), x1.4; 450 cm3</t>
        </is>
      </c>
      <c r="H7" s="16" t="n">
        <v>315718</v>
      </c>
      <c r="I7" s="26" t="n">
        <v>0.59</v>
      </c>
      <c r="J7" s="16" t="n">
        <v>524358</v>
      </c>
      <c r="K7" s="26" t="n">
        <v>0.4</v>
      </c>
      <c r="L7" s="16" t="n">
        <v>0</v>
      </c>
      <c r="M7" s="26" t="n">
        <v>0</v>
      </c>
      <c r="N7" s="16" t="n">
        <v>63302</v>
      </c>
      <c r="O7" s="26" t="n">
        <v>0.6938</v>
      </c>
      <c r="P7" s="27">
        <f>E7*p_sup_idx*(1+p_pack)+F7*p_log_mult</f>
        <v/>
      </c>
      <c r="Q7" s="27">
        <f>I7*p_pf_cen</f>
        <v/>
      </c>
      <c r="R7" s="27">
        <f>K7*p_pf_cen</f>
        <v/>
      </c>
      <c r="S7" s="27">
        <f>M7*p_pf_dec</f>
        <v/>
      </c>
      <c r="T7" s="27">
        <f>O7*p_pf_dec</f>
        <v/>
      </c>
      <c r="U7" s="20">
        <f>IF(Q7&gt;0,1-P7/Q7,-9)</f>
        <v/>
      </c>
      <c r="V7" s="20">
        <f>IF(R7&gt;0,1-P7/R7,-9)</f>
        <v/>
      </c>
      <c r="W7" s="20">
        <f>IF(S7&gt;0,1-P7/S7,-9)</f>
        <v/>
      </c>
      <c r="X7" s="20">
        <f>IF(T7&gt;0,1-P7/T7,-9)</f>
        <v/>
      </c>
      <c r="Y7" s="28">
        <f>IF(AND($D7=1,H7&gt;0,U7&gt;=p_gm_cen),1,0)</f>
        <v/>
      </c>
      <c r="Z7" s="28">
        <f>IF(AND($D7=1,J7&gt;0,V7&gt;=p_gm_cen),1,0)</f>
        <v/>
      </c>
      <c r="AA7" s="28">
        <f>IF(AND($D7=1,L7&gt;0,W7&gt;=p_gm_dec),1,0)</f>
        <v/>
      </c>
      <c r="AB7" s="28">
        <f>IF(AND($D7=1,N7&gt;0,X7&gt;=p_gm_dec),1,0)</f>
        <v/>
      </c>
      <c r="AC7" s="14">
        <f>AA7*L7*p_mkt*S7*p_rs_succ*p_share_dec</f>
        <v/>
      </c>
      <c r="AD7" s="14">
        <f>AB7*N7*p_mkt*T7*p_rs_succ*p_share_dec</f>
        <v/>
      </c>
      <c r="AE7" s="14">
        <f>Y7*H7*p_mkt*Q7*p_rs_succ*p_realiz</f>
        <v/>
      </c>
      <c r="AF7" s="14">
        <f>Z7*J7*p_mkt*R7*p_rs_succ*p_realiz_minsa</f>
        <v/>
      </c>
      <c r="AG7" s="14">
        <f>IF(S7&gt;0,AC7*P7/S7,0)</f>
        <v/>
      </c>
      <c r="AH7" s="14">
        <f>IF(T7&gt;0,AD7*P7/T7,0)</f>
        <v/>
      </c>
      <c r="AI7" s="14">
        <f>IF(Q7&gt;0,AE7*P7/Q7,0)</f>
        <v/>
      </c>
      <c r="AJ7" s="14">
        <f>IF(R7&gt;0,AF7*P7/R7,0)</f>
        <v/>
      </c>
      <c r="AK7" s="14">
        <f>AC7+AD7+AE7*p_pwin_cen+AF7*p_pwin_cen*p_minsa_occ</f>
        <v/>
      </c>
      <c r="AL7" s="14">
        <f>(AC7-AG7)+(AD7-AH7)+(AE7-AI7)*p_pwin_cen+(AF7-AJ7)*p_pwin_cen*p_minsa_occ</f>
        <v/>
      </c>
      <c r="AM7" s="20">
        <f>IF(P7&gt;0,E7*p_sup_idx*(1+p_pack)/P7,0)</f>
        <v/>
      </c>
      <c r="AN7" s="14">
        <f>IF(AND(Y7=1,H7&gt;0),H7*p_mkt*Q7*p_rs_succ,0)</f>
        <v/>
      </c>
    </row>
    <row r="8">
      <c r="A8" s="9" t="inlineStr">
        <is>
          <t>AMCTAB</t>
        </is>
      </c>
      <c r="B8" s="12" t="inlineStr">
        <is>
          <t>Amoxicilina + clavulánico 500/125 mg tableta</t>
        </is>
      </c>
      <c r="C8" s="9" t="inlineStr">
        <is>
          <t>Primera ola</t>
        </is>
      </c>
      <c r="D8" s="25" t="n">
        <v>1</v>
      </c>
      <c r="E8" s="26" t="n">
        <v>0.07539999999999999</v>
      </c>
      <c r="F8" s="26" t="n">
        <v>0.0036</v>
      </c>
      <c r="G8" s="12" t="inlineStr">
        <is>
          <t>R: PMBI 2024-26 INR 31.60 por 6 y TNMSC 2024 INR 30.81 por 6 (se usa INR 5.2 por tableta), x1.4; alu-alu 12 cm3</t>
        </is>
      </c>
      <c r="H8" s="16" t="n">
        <v>46534</v>
      </c>
      <c r="I8" s="26" t="n">
        <v>0.179</v>
      </c>
      <c r="J8" s="16">
        <f>191135*p_cc_w</f>
        <v/>
      </c>
      <c r="K8" s="26" t="n">
        <v>0.19</v>
      </c>
      <c r="L8" s="16" t="n">
        <v>0</v>
      </c>
      <c r="M8" s="26" t="n">
        <v>0</v>
      </c>
      <c r="N8" s="16" t="n">
        <v>30555</v>
      </c>
      <c r="O8" s="26" t="n">
        <v>0.3211</v>
      </c>
      <c r="P8" s="27">
        <f>E8*p_sup_idx*(1+p_pack)+F8*p_log_mult</f>
        <v/>
      </c>
      <c r="Q8" s="27">
        <f>I8*p_pf_cen</f>
        <v/>
      </c>
      <c r="R8" s="27">
        <f>K8*p_pf_cen</f>
        <v/>
      </c>
      <c r="S8" s="27">
        <f>M8*p_pf_dec</f>
        <v/>
      </c>
      <c r="T8" s="27">
        <f>O8*p_pf_dec</f>
        <v/>
      </c>
      <c r="U8" s="20">
        <f>IF(Q8&gt;0,1-P8/Q8,-9)</f>
        <v/>
      </c>
      <c r="V8" s="20">
        <f>IF(R8&gt;0,1-P8/R8,-9)</f>
        <v/>
      </c>
      <c r="W8" s="20">
        <f>IF(S8&gt;0,1-P8/S8,-9)</f>
        <v/>
      </c>
      <c r="X8" s="20">
        <f>IF(T8&gt;0,1-P8/T8,-9)</f>
        <v/>
      </c>
      <c r="Y8" s="28">
        <f>IF(AND($D8=1,H8&gt;0,U8&gt;=p_gm_cen),1,0)</f>
        <v/>
      </c>
      <c r="Z8" s="28">
        <f>IF(AND($D8=1,J8&gt;0,V8&gt;=p_gm_cen),1,0)</f>
        <v/>
      </c>
      <c r="AA8" s="28">
        <f>IF(AND($D8=1,L8&gt;0,W8&gt;=p_gm_dec),1,0)</f>
        <v/>
      </c>
      <c r="AB8" s="28">
        <f>IF(AND($D8=1,N8&gt;0,X8&gt;=p_gm_dec),1,0)</f>
        <v/>
      </c>
      <c r="AC8" s="14">
        <f>AA8*L8*p_mkt*S8*p_rs_succ*p_share_dec</f>
        <v/>
      </c>
      <c r="AD8" s="14">
        <f>AB8*N8*p_mkt*T8*p_rs_succ*p_share_dec</f>
        <v/>
      </c>
      <c r="AE8" s="14">
        <f>Y8*H8*p_mkt*Q8*p_rs_succ*p_realiz</f>
        <v/>
      </c>
      <c r="AF8" s="14">
        <f>Z8*J8*p_mkt*R8*p_rs_succ*p_realiz_minsa</f>
        <v/>
      </c>
      <c r="AG8" s="14">
        <f>IF(S8&gt;0,AC8*P8/S8,0)</f>
        <v/>
      </c>
      <c r="AH8" s="14">
        <f>IF(T8&gt;0,AD8*P8/T8,0)</f>
        <v/>
      </c>
      <c r="AI8" s="14">
        <f>IF(Q8&gt;0,AE8*P8/Q8,0)</f>
        <v/>
      </c>
      <c r="AJ8" s="14">
        <f>IF(R8&gt;0,AF8*P8/R8,0)</f>
        <v/>
      </c>
      <c r="AK8" s="14">
        <f>AC8+AD8+AE8*p_pwin_cen+AF8*p_pwin_cen*p_minsa_occ</f>
        <v/>
      </c>
      <c r="AL8" s="14">
        <f>(AC8-AG8)+(AD8-AH8)+(AE8-AI8)*p_pwin_cen+(AF8-AJ8)*p_pwin_cen*p_minsa_occ</f>
        <v/>
      </c>
      <c r="AM8" s="20">
        <f>IF(P8&gt;0,E8*p_sup_idx*(1+p_pack)/P8,0)</f>
        <v/>
      </c>
      <c r="AN8" s="14">
        <f>IF(AND(Y8=1,H8&gt;0),H8*p_mkt*Q8*p_rs_succ,0)</f>
        <v/>
      </c>
    </row>
    <row r="9">
      <c r="A9" s="9" t="inlineStr">
        <is>
          <t>AMCSUS</t>
        </is>
      </c>
      <c r="B9" s="12" t="inlineStr">
        <is>
          <t>Amoxicilina + clavulánico 400/57 mg/5 ml suspensión, frasco 100 ml</t>
        </is>
      </c>
      <c r="C9" s="9" t="inlineStr">
        <is>
          <t>Primera ola</t>
        </is>
      </c>
      <c r="D9" s="25" t="n">
        <v>1</v>
      </c>
      <c r="E9" s="26" t="n">
        <v>1.159</v>
      </c>
      <c r="F9" s="26" t="n">
        <v>0.15</v>
      </c>
      <c r="G9" s="12" t="inlineStr">
        <is>
          <t>R: PMBI 2023-26 INR 28.06 por 30 ml, escalado a 100 ml (x2.85 = INR 80), x1.4; 500 cm3</t>
        </is>
      </c>
      <c r="H9" s="16" t="n">
        <v>10217</v>
      </c>
      <c r="I9" s="26" t="n">
        <v>1.98</v>
      </c>
      <c r="J9" s="16" t="n">
        <v>0</v>
      </c>
      <c r="K9" s="26" t="n">
        <v>0</v>
      </c>
      <c r="L9" s="16" t="n">
        <v>0</v>
      </c>
      <c r="M9" s="26" t="n">
        <v>0</v>
      </c>
      <c r="N9" s="16" t="n">
        <v>7463</v>
      </c>
      <c r="O9" s="26" t="n">
        <v>4.5197</v>
      </c>
      <c r="P9" s="27">
        <f>E9*p_sup_idx*(1+p_pack)+F9*p_log_mult</f>
        <v/>
      </c>
      <c r="Q9" s="27">
        <f>I9*p_pf_cen</f>
        <v/>
      </c>
      <c r="R9" s="27">
        <f>K9*p_pf_cen</f>
        <v/>
      </c>
      <c r="S9" s="27">
        <f>M9*p_pf_dec</f>
        <v/>
      </c>
      <c r="T9" s="27">
        <f>O9*p_pf_dec</f>
        <v/>
      </c>
      <c r="U9" s="20">
        <f>IF(Q9&gt;0,1-P9/Q9,-9)</f>
        <v/>
      </c>
      <c r="V9" s="20">
        <f>IF(R9&gt;0,1-P9/R9,-9)</f>
        <v/>
      </c>
      <c r="W9" s="20">
        <f>IF(S9&gt;0,1-P9/S9,-9)</f>
        <v/>
      </c>
      <c r="X9" s="20">
        <f>IF(T9&gt;0,1-P9/T9,-9)</f>
        <v/>
      </c>
      <c r="Y9" s="28">
        <f>IF(AND($D9=1,H9&gt;0,U9&gt;=p_gm_cen),1,0)</f>
        <v/>
      </c>
      <c r="Z9" s="28">
        <f>IF(AND($D9=1,J9&gt;0,V9&gt;=p_gm_cen),1,0)</f>
        <v/>
      </c>
      <c r="AA9" s="28">
        <f>IF(AND($D9=1,L9&gt;0,W9&gt;=p_gm_dec),1,0)</f>
        <v/>
      </c>
      <c r="AB9" s="28">
        <f>IF(AND($D9=1,N9&gt;0,X9&gt;=p_gm_dec),1,0)</f>
        <v/>
      </c>
      <c r="AC9" s="14">
        <f>AA9*L9*p_mkt*S9*p_rs_succ*p_share_dec</f>
        <v/>
      </c>
      <c r="AD9" s="14">
        <f>AB9*N9*p_mkt*T9*p_rs_succ*p_share_dec</f>
        <v/>
      </c>
      <c r="AE9" s="14">
        <f>Y9*H9*p_mkt*Q9*p_rs_succ*p_realiz</f>
        <v/>
      </c>
      <c r="AF9" s="14">
        <f>Z9*J9*p_mkt*R9*p_rs_succ*p_realiz_minsa</f>
        <v/>
      </c>
      <c r="AG9" s="14">
        <f>IF(S9&gt;0,AC9*P9/S9,0)</f>
        <v/>
      </c>
      <c r="AH9" s="14">
        <f>IF(T9&gt;0,AD9*P9/T9,0)</f>
        <v/>
      </c>
      <c r="AI9" s="14">
        <f>IF(Q9&gt;0,AE9*P9/Q9,0)</f>
        <v/>
      </c>
      <c r="AJ9" s="14">
        <f>IF(R9&gt;0,AF9*P9/R9,0)</f>
        <v/>
      </c>
      <c r="AK9" s="14">
        <f>AC9+AD9+AE9*p_pwin_cen+AF9*p_pwin_cen*p_minsa_occ</f>
        <v/>
      </c>
      <c r="AL9" s="14">
        <f>(AC9-AG9)+(AD9-AH9)+(AE9-AI9)*p_pwin_cen+(AF9-AJ9)*p_pwin_cen*p_minsa_occ</f>
        <v/>
      </c>
      <c r="AM9" s="20">
        <f>IF(P9&gt;0,E9*p_sup_idx*(1+p_pack)/P9,0)</f>
        <v/>
      </c>
      <c r="AN9" s="14">
        <f>IF(AND(Y9=1,H9&gt;0),H9*p_mkt*Q9*p_rs_succ,0)</f>
        <v/>
      </c>
    </row>
    <row r="10">
      <c r="A10" s="9" t="inlineStr">
        <is>
          <t>CRO1G</t>
        </is>
      </c>
      <c r="B10" s="12" t="inlineStr">
        <is>
          <t>Ceftriaxona 1 g vial (I.V.)</t>
        </is>
      </c>
      <c r="C10" s="9" t="inlineStr">
        <is>
          <t>Primera ola</t>
        </is>
      </c>
      <c r="D10" s="25" t="n">
        <v>1</v>
      </c>
      <c r="E10" s="26" t="n">
        <v>0.1956</v>
      </c>
      <c r="F10" s="26" t="n">
        <v>0.0162</v>
      </c>
      <c r="G10" s="12" t="inlineStr">
        <is>
          <t>R: Assam 2025 INR 12.6 y Delhi 2022 INR 15.48 por vial; se usa INR 13.5, x1.4; 54 cm3</t>
        </is>
      </c>
      <c r="H10" s="16" t="n">
        <v>194242</v>
      </c>
      <c r="I10" s="26" t="n">
        <v>0.239</v>
      </c>
      <c r="J10" s="16">
        <f>201135*p_cc_w</f>
        <v/>
      </c>
      <c r="K10" s="26" t="n">
        <v>0.25</v>
      </c>
      <c r="L10" s="16" t="n">
        <v>3899</v>
      </c>
      <c r="M10" s="26" t="n">
        <v>0.78</v>
      </c>
      <c r="N10" s="16" t="n">
        <v>43743</v>
      </c>
      <c r="O10" s="26" t="n">
        <v>0.452</v>
      </c>
      <c r="P10" s="27">
        <f>E10*p_sup_idx*(1+p_pack)+F10*p_log_mult</f>
        <v/>
      </c>
      <c r="Q10" s="27">
        <f>I10*p_pf_cen</f>
        <v/>
      </c>
      <c r="R10" s="27">
        <f>K10*p_pf_cen</f>
        <v/>
      </c>
      <c r="S10" s="27">
        <f>M10*p_pf_dec</f>
        <v/>
      </c>
      <c r="T10" s="27">
        <f>O10*p_pf_dec</f>
        <v/>
      </c>
      <c r="U10" s="20">
        <f>IF(Q10&gt;0,1-P10/Q10,-9)</f>
        <v/>
      </c>
      <c r="V10" s="20">
        <f>IF(R10&gt;0,1-P10/R10,-9)</f>
        <v/>
      </c>
      <c r="W10" s="20">
        <f>IF(S10&gt;0,1-P10/S10,-9)</f>
        <v/>
      </c>
      <c r="X10" s="20">
        <f>IF(T10&gt;0,1-P10/T10,-9)</f>
        <v/>
      </c>
      <c r="Y10" s="28">
        <f>IF(AND($D10=1,H10&gt;0,U10&gt;=p_gm_cen),1,0)</f>
        <v/>
      </c>
      <c r="Z10" s="28">
        <f>IF(AND($D10=1,J10&gt;0,V10&gt;=p_gm_cen),1,0)</f>
        <v/>
      </c>
      <c r="AA10" s="28">
        <f>IF(AND($D10=1,L10&gt;0,W10&gt;=p_gm_dec),1,0)</f>
        <v/>
      </c>
      <c r="AB10" s="28">
        <f>IF(AND($D10=1,N10&gt;0,X10&gt;=p_gm_dec),1,0)</f>
        <v/>
      </c>
      <c r="AC10" s="14">
        <f>AA10*L10*p_mkt*S10*p_rs_succ*p_share_dec</f>
        <v/>
      </c>
      <c r="AD10" s="14">
        <f>AB10*N10*p_mkt*T10*p_rs_succ*p_share_dec</f>
        <v/>
      </c>
      <c r="AE10" s="14">
        <f>Y10*H10*p_mkt*Q10*p_rs_succ*p_realiz</f>
        <v/>
      </c>
      <c r="AF10" s="14">
        <f>Z10*J10*p_mkt*R10*p_rs_succ*p_realiz_minsa</f>
        <v/>
      </c>
      <c r="AG10" s="14">
        <f>IF(S10&gt;0,AC10*P10/S10,0)</f>
        <v/>
      </c>
      <c r="AH10" s="14">
        <f>IF(T10&gt;0,AD10*P10/T10,0)</f>
        <v/>
      </c>
      <c r="AI10" s="14">
        <f>IF(Q10&gt;0,AE10*P10/Q10,0)</f>
        <v/>
      </c>
      <c r="AJ10" s="14">
        <f>IF(R10&gt;0,AF10*P10/R10,0)</f>
        <v/>
      </c>
      <c r="AK10" s="14">
        <f>AC10+AD10+AE10*p_pwin_cen+AF10*p_pwin_cen*p_minsa_occ</f>
        <v/>
      </c>
      <c r="AL10" s="14">
        <f>(AC10-AG10)+(AD10-AH10)+(AE10-AI10)*p_pwin_cen+(AF10-AJ10)*p_pwin_cen*p_minsa_occ</f>
        <v/>
      </c>
      <c r="AM10" s="20">
        <f>IF(P10&gt;0,E10*p_sup_idx*(1+p_pack)/P10,0)</f>
        <v/>
      </c>
      <c r="AN10" s="14">
        <f>IF(AND(Y10=1,H10&gt;0),H10*p_mkt*Q10*p_rs_succ,0)</f>
        <v/>
      </c>
    </row>
    <row r="11">
      <c r="A11" s="9" t="inlineStr">
        <is>
          <t>CTX1G</t>
        </is>
      </c>
      <c r="B11" s="12" t="inlineStr">
        <is>
          <t>Cefotaxima 1 g vial</t>
        </is>
      </c>
      <c r="C11" s="9" t="inlineStr">
        <is>
          <t>Primera ola</t>
        </is>
      </c>
      <c r="D11" s="25" t="n">
        <v>1</v>
      </c>
      <c r="E11" s="26" t="n">
        <v>0.2029</v>
      </c>
      <c r="F11" s="26" t="n">
        <v>0.0162</v>
      </c>
      <c r="G11" s="12" t="inlineStr">
        <is>
          <t>R: Assam 2025 INR 13.3 por vial (PMBI 500 mg con agua INR 12.32); se usa INR 14.0, x1.4; 54 cm3</t>
        </is>
      </c>
      <c r="H11" s="16" t="n">
        <v>168687</v>
      </c>
      <c r="I11" s="26" t="n">
        <v>0.259</v>
      </c>
      <c r="J11" s="16">
        <f>177344*p_cc_w</f>
        <v/>
      </c>
      <c r="K11" s="26" t="n">
        <v>0.27</v>
      </c>
      <c r="L11" s="16" t="n">
        <v>0</v>
      </c>
      <c r="M11" s="26" t="n">
        <v>0</v>
      </c>
      <c r="N11" s="16" t="n">
        <v>79691</v>
      </c>
      <c r="O11" s="26" t="n">
        <v>0.3987</v>
      </c>
      <c r="P11" s="27">
        <f>E11*p_sup_idx*(1+p_pack)+F11*p_log_mult</f>
        <v/>
      </c>
      <c r="Q11" s="27">
        <f>I11*p_pf_cen</f>
        <v/>
      </c>
      <c r="R11" s="27">
        <f>K11*p_pf_cen</f>
        <v/>
      </c>
      <c r="S11" s="27">
        <f>M11*p_pf_dec</f>
        <v/>
      </c>
      <c r="T11" s="27">
        <f>O11*p_pf_dec</f>
        <v/>
      </c>
      <c r="U11" s="20">
        <f>IF(Q11&gt;0,1-P11/Q11,-9)</f>
        <v/>
      </c>
      <c r="V11" s="20">
        <f>IF(R11&gt;0,1-P11/R11,-9)</f>
        <v/>
      </c>
      <c r="W11" s="20">
        <f>IF(S11&gt;0,1-P11/S11,-9)</f>
        <v/>
      </c>
      <c r="X11" s="20">
        <f>IF(T11&gt;0,1-P11/T11,-9)</f>
        <v/>
      </c>
      <c r="Y11" s="28">
        <f>IF(AND($D11=1,H11&gt;0,U11&gt;=p_gm_cen),1,0)</f>
        <v/>
      </c>
      <c r="Z11" s="28">
        <f>IF(AND($D11=1,J11&gt;0,V11&gt;=p_gm_cen),1,0)</f>
        <v/>
      </c>
      <c r="AA11" s="28">
        <f>IF(AND($D11=1,L11&gt;0,W11&gt;=p_gm_dec),1,0)</f>
        <v/>
      </c>
      <c r="AB11" s="28">
        <f>IF(AND($D11=1,N11&gt;0,X11&gt;=p_gm_dec),1,0)</f>
        <v/>
      </c>
      <c r="AC11" s="14">
        <f>AA11*L11*p_mkt*S11*p_rs_succ*p_share_dec</f>
        <v/>
      </c>
      <c r="AD11" s="14">
        <f>AB11*N11*p_mkt*T11*p_rs_succ*p_share_dec</f>
        <v/>
      </c>
      <c r="AE11" s="14">
        <f>Y11*H11*p_mkt*Q11*p_rs_succ*p_realiz</f>
        <v/>
      </c>
      <c r="AF11" s="14">
        <f>Z11*J11*p_mkt*R11*p_rs_succ*p_realiz_minsa</f>
        <v/>
      </c>
      <c r="AG11" s="14">
        <f>IF(S11&gt;0,AC11*P11/S11,0)</f>
        <v/>
      </c>
      <c r="AH11" s="14">
        <f>IF(T11&gt;0,AD11*P11/T11,0)</f>
        <v/>
      </c>
      <c r="AI11" s="14">
        <f>IF(Q11&gt;0,AE11*P11/Q11,0)</f>
        <v/>
      </c>
      <c r="AJ11" s="14">
        <f>IF(R11&gt;0,AF11*P11/R11,0)</f>
        <v/>
      </c>
      <c r="AK11" s="14">
        <f>AC11+AD11+AE11*p_pwin_cen+AF11*p_pwin_cen*p_minsa_occ</f>
        <v/>
      </c>
      <c r="AL11" s="14">
        <f>(AC11-AG11)+(AD11-AH11)+(AE11-AI11)*p_pwin_cen+(AF11-AJ11)*p_pwin_cen*p_minsa_occ</f>
        <v/>
      </c>
      <c r="AM11" s="20">
        <f>IF(P11&gt;0,E11*p_sup_idx*(1+p_pack)/P11,0)</f>
        <v/>
      </c>
      <c r="AN11" s="14">
        <f>IF(AND(Y11=1,H11&gt;0),H11*p_mkt*Q11*p_rs_succ,0)</f>
        <v/>
      </c>
    </row>
    <row r="12">
      <c r="A12" s="9" t="inlineStr">
        <is>
          <t>ALBSUS</t>
        </is>
      </c>
      <c r="B12" s="12" t="inlineStr">
        <is>
          <t>Albendazol 400 mg/10 ml suspensión</t>
        </is>
      </c>
      <c r="C12" s="9" t="inlineStr">
        <is>
          <t>Primera ola</t>
        </is>
      </c>
      <c r="D12" s="25" t="n">
        <v>1</v>
      </c>
      <c r="E12" s="26" t="n">
        <v>0.07000000000000001</v>
      </c>
      <c r="F12" s="26" t="n">
        <v>0.024</v>
      </c>
      <c r="G12" s="12" t="inlineStr">
        <is>
          <t>R: PMBI 2022-25 INR 4.22 y Delhi 2022 INR 4.59 por 10 ml; x1.4 = US$0.062; se usa 0.07; 80 cm3 (el ganador de la LPU entregó 20 ml)</t>
        </is>
      </c>
      <c r="H12" s="16" t="n">
        <v>18762</v>
      </c>
      <c r="I12" s="26" t="n">
        <v>1.81</v>
      </c>
      <c r="J12" s="16">
        <f>194990*p_cc_w</f>
        <v/>
      </c>
      <c r="K12" s="26" t="n">
        <v>1.86</v>
      </c>
      <c r="L12" s="16" t="n">
        <v>0</v>
      </c>
      <c r="M12" s="26" t="n">
        <v>0</v>
      </c>
      <c r="N12" s="16" t="n">
        <v>10114</v>
      </c>
      <c r="O12" s="26" t="n">
        <v>1.5163</v>
      </c>
      <c r="P12" s="27">
        <f>E12*p_sup_idx*(1+p_pack)+F12*p_log_mult</f>
        <v/>
      </c>
      <c r="Q12" s="27">
        <f>I12*p_pf_cen</f>
        <v/>
      </c>
      <c r="R12" s="27">
        <f>K12*p_pf_cen</f>
        <v/>
      </c>
      <c r="S12" s="27">
        <f>M12*p_pf_dec</f>
        <v/>
      </c>
      <c r="T12" s="27">
        <f>O12*p_pf_dec</f>
        <v/>
      </c>
      <c r="U12" s="20">
        <f>IF(Q12&gt;0,1-P12/Q12,-9)</f>
        <v/>
      </c>
      <c r="V12" s="20">
        <f>IF(R12&gt;0,1-P12/R12,-9)</f>
        <v/>
      </c>
      <c r="W12" s="20">
        <f>IF(S12&gt;0,1-P12/S12,-9)</f>
        <v/>
      </c>
      <c r="X12" s="20">
        <f>IF(T12&gt;0,1-P12/T12,-9)</f>
        <v/>
      </c>
      <c r="Y12" s="28">
        <f>IF(AND($D12=1,H12&gt;0,U12&gt;=p_gm_cen),1,0)</f>
        <v/>
      </c>
      <c r="Z12" s="28">
        <f>IF(AND($D12=1,J12&gt;0,V12&gt;=p_gm_cen),1,0)</f>
        <v/>
      </c>
      <c r="AA12" s="28">
        <f>IF(AND($D12=1,L12&gt;0,W12&gt;=p_gm_dec),1,0)</f>
        <v/>
      </c>
      <c r="AB12" s="28">
        <f>IF(AND($D12=1,N12&gt;0,X12&gt;=p_gm_dec),1,0)</f>
        <v/>
      </c>
      <c r="AC12" s="14">
        <f>AA12*L12*p_mkt*S12*p_rs_succ*p_share_dec</f>
        <v/>
      </c>
      <c r="AD12" s="14">
        <f>AB12*N12*p_mkt*T12*p_rs_succ*p_share_dec</f>
        <v/>
      </c>
      <c r="AE12" s="14">
        <f>Y12*H12*p_mkt*Q12*p_rs_succ*p_realiz</f>
        <v/>
      </c>
      <c r="AF12" s="14">
        <f>Z12*J12*p_mkt*R12*p_rs_succ*p_realiz_minsa</f>
        <v/>
      </c>
      <c r="AG12" s="14">
        <f>IF(S12&gt;0,AC12*P12/S12,0)</f>
        <v/>
      </c>
      <c r="AH12" s="14">
        <f>IF(T12&gt;0,AD12*P12/T12,0)</f>
        <v/>
      </c>
      <c r="AI12" s="14">
        <f>IF(Q12&gt;0,AE12*P12/Q12,0)</f>
        <v/>
      </c>
      <c r="AJ12" s="14">
        <f>IF(R12&gt;0,AF12*P12/R12,0)</f>
        <v/>
      </c>
      <c r="AK12" s="14">
        <f>AC12+AD12+AE12*p_pwin_cen+AF12*p_pwin_cen*p_minsa_occ</f>
        <v/>
      </c>
      <c r="AL12" s="14">
        <f>(AC12-AG12)+(AD12-AH12)+(AE12-AI12)*p_pwin_cen+(AF12-AJ12)*p_pwin_cen*p_minsa_occ</f>
        <v/>
      </c>
      <c r="AM12" s="20">
        <f>IF(P12&gt;0,E12*p_sup_idx*(1+p_pack)/P12,0)</f>
        <v/>
      </c>
      <c r="AN12" s="14">
        <f>IF(AND(Y12=1,H12&gt;0),H12*p_mkt*Q12*p_rs_succ,0)</f>
        <v/>
      </c>
    </row>
    <row r="13">
      <c r="A13" s="9" t="inlineStr">
        <is>
          <t>MBZ100</t>
        </is>
      </c>
      <c r="B13" s="12" t="inlineStr">
        <is>
          <t>Mebendazol 100 mg tableta</t>
        </is>
      </c>
      <c r="C13" s="9" t="inlineStr">
        <is>
          <t>Primera ola</t>
        </is>
      </c>
      <c r="D13" s="25" t="n">
        <v>1</v>
      </c>
      <c r="E13" s="26" t="n">
        <v>0.008500000000000001</v>
      </c>
      <c r="F13" s="26" t="n">
        <v>0.0009</v>
      </c>
      <c r="G13" s="12" t="inlineStr">
        <is>
          <t>R: sin licitación india pública; precio al público de Jan Aushadhi INR 8.44 por 6 x0.42 = INR 0.59, x1.4; 3 cm3</t>
        </is>
      </c>
      <c r="H13" s="16" t="n">
        <v>188514</v>
      </c>
      <c r="I13" s="26" t="n">
        <v>0.13</v>
      </c>
      <c r="J13" s="16">
        <f>179270*p_cc_w</f>
        <v/>
      </c>
      <c r="K13" s="26" t="n">
        <v>0.13</v>
      </c>
      <c r="L13" s="16" t="n">
        <v>8000</v>
      </c>
      <c r="M13" s="26" t="n">
        <v>0.2188</v>
      </c>
      <c r="N13" s="16" t="n">
        <v>1714</v>
      </c>
      <c r="O13" s="26" t="n">
        <v>0.1753</v>
      </c>
      <c r="P13" s="27">
        <f>E13*p_sup_idx*(1+p_pack)+F13*p_log_mult</f>
        <v/>
      </c>
      <c r="Q13" s="27">
        <f>I13*p_pf_cen</f>
        <v/>
      </c>
      <c r="R13" s="27">
        <f>K13*p_pf_cen</f>
        <v/>
      </c>
      <c r="S13" s="27">
        <f>M13*p_pf_dec</f>
        <v/>
      </c>
      <c r="T13" s="27">
        <f>O13*p_pf_dec</f>
        <v/>
      </c>
      <c r="U13" s="20">
        <f>IF(Q13&gt;0,1-P13/Q13,-9)</f>
        <v/>
      </c>
      <c r="V13" s="20">
        <f>IF(R13&gt;0,1-P13/R13,-9)</f>
        <v/>
      </c>
      <c r="W13" s="20">
        <f>IF(S13&gt;0,1-P13/S13,-9)</f>
        <v/>
      </c>
      <c r="X13" s="20">
        <f>IF(T13&gt;0,1-P13/T13,-9)</f>
        <v/>
      </c>
      <c r="Y13" s="28">
        <f>IF(AND($D13=1,H13&gt;0,U13&gt;=p_gm_cen),1,0)</f>
        <v/>
      </c>
      <c r="Z13" s="28">
        <f>IF(AND($D13=1,J13&gt;0,V13&gt;=p_gm_cen),1,0)</f>
        <v/>
      </c>
      <c r="AA13" s="28">
        <f>IF(AND($D13=1,L13&gt;0,W13&gt;=p_gm_dec),1,0)</f>
        <v/>
      </c>
      <c r="AB13" s="28">
        <f>IF(AND($D13=1,N13&gt;0,X13&gt;=p_gm_dec),1,0)</f>
        <v/>
      </c>
      <c r="AC13" s="14">
        <f>AA13*L13*p_mkt*S13*p_rs_succ*p_share_dec</f>
        <v/>
      </c>
      <c r="AD13" s="14">
        <f>AB13*N13*p_mkt*T13*p_rs_succ*p_share_dec</f>
        <v/>
      </c>
      <c r="AE13" s="14">
        <f>Y13*H13*p_mkt*Q13*p_rs_succ*p_realiz</f>
        <v/>
      </c>
      <c r="AF13" s="14">
        <f>Z13*J13*p_mkt*R13*p_rs_succ*p_realiz_minsa</f>
        <v/>
      </c>
      <c r="AG13" s="14">
        <f>IF(S13&gt;0,AC13*P13/S13,0)</f>
        <v/>
      </c>
      <c r="AH13" s="14">
        <f>IF(T13&gt;0,AD13*P13/T13,0)</f>
        <v/>
      </c>
      <c r="AI13" s="14">
        <f>IF(Q13&gt;0,AE13*P13/Q13,0)</f>
        <v/>
      </c>
      <c r="AJ13" s="14">
        <f>IF(R13&gt;0,AF13*P13/R13,0)</f>
        <v/>
      </c>
      <c r="AK13" s="14">
        <f>AC13+AD13+AE13*p_pwin_cen+AF13*p_pwin_cen*p_minsa_occ</f>
        <v/>
      </c>
      <c r="AL13" s="14">
        <f>(AC13-AG13)+(AD13-AH13)+(AE13-AI13)*p_pwin_cen+(AF13-AJ13)*p_pwin_cen*p_minsa_occ</f>
        <v/>
      </c>
      <c r="AM13" s="20">
        <f>IF(P13&gt;0,E13*p_sup_idx*(1+p_pack)/P13,0)</f>
        <v/>
      </c>
      <c r="AN13" s="14">
        <f>IF(AND(Y13=1,H13&gt;0),H13*p_mkt*Q13*p_rs_succ,0)</f>
        <v/>
      </c>
    </row>
    <row r="14">
      <c r="A14" s="9" t="inlineStr">
        <is>
          <t>NYSSUS</t>
        </is>
      </c>
      <c r="B14" s="12" t="inlineStr">
        <is>
          <t>Nistatina 100,000 UI/ml suspensión, frasco 30 ml</t>
        </is>
      </c>
      <c r="C14" s="9" t="inlineStr">
        <is>
          <t>Primera ola</t>
        </is>
      </c>
      <c r="D14" s="25" t="n">
        <v>1</v>
      </c>
      <c r="E14" s="26" t="n">
        <v>0.42</v>
      </c>
      <c r="F14" s="26" t="n">
        <v>0.0555</v>
      </c>
      <c r="G14" s="12" t="inlineStr">
        <is>
          <t>R: sin precio indio público; se usa US$0.42 con UNICEF US$0.60 por 30 ml como techo; 185 cm3</t>
        </is>
      </c>
      <c r="H14" s="16" t="n">
        <v>14898</v>
      </c>
      <c r="I14" s="26" t="n">
        <v>3.18</v>
      </c>
      <c r="J14" s="16">
        <f>18118*p_cc_w</f>
        <v/>
      </c>
      <c r="K14" s="26" t="n">
        <v>3.39</v>
      </c>
      <c r="L14" s="16" t="n">
        <v>0</v>
      </c>
      <c r="M14" s="26" t="n">
        <v>0</v>
      </c>
      <c r="N14" s="16" t="n">
        <v>2142</v>
      </c>
      <c r="O14" s="26" t="n">
        <v>3.3201</v>
      </c>
      <c r="P14" s="27">
        <f>E14*p_sup_idx*(1+p_pack)+F14*p_log_mult</f>
        <v/>
      </c>
      <c r="Q14" s="27">
        <f>I14*p_pf_cen</f>
        <v/>
      </c>
      <c r="R14" s="27">
        <f>K14*p_pf_cen</f>
        <v/>
      </c>
      <c r="S14" s="27">
        <f>M14*p_pf_dec</f>
        <v/>
      </c>
      <c r="T14" s="27">
        <f>O14*p_pf_dec</f>
        <v/>
      </c>
      <c r="U14" s="20">
        <f>IF(Q14&gt;0,1-P14/Q14,-9)</f>
        <v/>
      </c>
      <c r="V14" s="20">
        <f>IF(R14&gt;0,1-P14/R14,-9)</f>
        <v/>
      </c>
      <c r="W14" s="20">
        <f>IF(S14&gt;0,1-P14/S14,-9)</f>
        <v/>
      </c>
      <c r="X14" s="20">
        <f>IF(T14&gt;0,1-P14/T14,-9)</f>
        <v/>
      </c>
      <c r="Y14" s="28">
        <f>IF(AND($D14=1,H14&gt;0,U14&gt;=p_gm_cen),1,0)</f>
        <v/>
      </c>
      <c r="Z14" s="28">
        <f>IF(AND($D14=1,J14&gt;0,V14&gt;=p_gm_cen),1,0)</f>
        <v/>
      </c>
      <c r="AA14" s="28">
        <f>IF(AND($D14=1,L14&gt;0,W14&gt;=p_gm_dec),1,0)</f>
        <v/>
      </c>
      <c r="AB14" s="28">
        <f>IF(AND($D14=1,N14&gt;0,X14&gt;=p_gm_dec),1,0)</f>
        <v/>
      </c>
      <c r="AC14" s="14">
        <f>AA14*L14*p_mkt*S14*p_rs_succ*p_share_dec</f>
        <v/>
      </c>
      <c r="AD14" s="14">
        <f>AB14*N14*p_mkt*T14*p_rs_succ*p_share_dec</f>
        <v/>
      </c>
      <c r="AE14" s="14">
        <f>Y14*H14*p_mkt*Q14*p_rs_succ*p_realiz</f>
        <v/>
      </c>
      <c r="AF14" s="14">
        <f>Z14*J14*p_mkt*R14*p_rs_succ*p_realiz_minsa</f>
        <v/>
      </c>
      <c r="AG14" s="14">
        <f>IF(S14&gt;0,AC14*P14/S14,0)</f>
        <v/>
      </c>
      <c r="AH14" s="14">
        <f>IF(T14&gt;0,AD14*P14/T14,0)</f>
        <v/>
      </c>
      <c r="AI14" s="14">
        <f>IF(Q14&gt;0,AE14*P14/Q14,0)</f>
        <v/>
      </c>
      <c r="AJ14" s="14">
        <f>IF(R14&gt;0,AF14*P14/R14,0)</f>
        <v/>
      </c>
      <c r="AK14" s="14">
        <f>AC14+AD14+AE14*p_pwin_cen+AF14*p_pwin_cen*p_minsa_occ</f>
        <v/>
      </c>
      <c r="AL14" s="14">
        <f>(AC14-AG14)+(AD14-AH14)+(AE14-AI14)*p_pwin_cen+(AF14-AJ14)*p_pwin_cen*p_minsa_occ</f>
        <v/>
      </c>
      <c r="AM14" s="20">
        <f>IF(P14&gt;0,E14*p_sup_idx*(1+p_pack)/P14,0)</f>
        <v/>
      </c>
      <c r="AN14" s="14">
        <f>IF(AND(Y14=1,H14&gt;0),H14*p_mkt*Q14*p_rs_succ,0)</f>
        <v/>
      </c>
    </row>
    <row r="15">
      <c r="A15" s="9" t="inlineStr">
        <is>
          <t>HCTCRM</t>
        </is>
      </c>
      <c r="B15" s="12" t="inlineStr">
        <is>
          <t>Hidrocortisona 1% crema, tubo 15 g</t>
        </is>
      </c>
      <c r="C15" s="9" t="inlineStr">
        <is>
          <t>Primera ola</t>
        </is>
      </c>
      <c r="D15" s="25" t="n">
        <v>1</v>
      </c>
      <c r="E15" s="26" t="n">
        <v>0.1988</v>
      </c>
      <c r="F15" s="26" t="n">
        <v>0.033</v>
      </c>
      <c r="G15" s="12" t="inlineStr">
        <is>
          <t>R: PMBI 2024-26 INR 13.72 por tubo x1.4; 110 cm3</t>
        </is>
      </c>
      <c r="H15" s="16" t="n">
        <v>89267</v>
      </c>
      <c r="I15" s="26" t="n">
        <v>0.555</v>
      </c>
      <c r="J15" s="16">
        <f>44276*p_cc_w</f>
        <v/>
      </c>
      <c r="K15" s="26" t="n">
        <v>0.58</v>
      </c>
      <c r="L15" s="16" t="n">
        <v>0</v>
      </c>
      <c r="M15" s="26" t="n">
        <v>0</v>
      </c>
      <c r="N15" s="16" t="n">
        <v>1564</v>
      </c>
      <c r="O15" s="26" t="n">
        <v>1.4679</v>
      </c>
      <c r="P15" s="27">
        <f>E15*p_sup_idx*(1+p_pack)+F15*p_log_mult</f>
        <v/>
      </c>
      <c r="Q15" s="27">
        <f>I15*p_pf_cen</f>
        <v/>
      </c>
      <c r="R15" s="27">
        <f>K15*p_pf_cen</f>
        <v/>
      </c>
      <c r="S15" s="27">
        <f>M15*p_pf_dec</f>
        <v/>
      </c>
      <c r="T15" s="27">
        <f>O15*p_pf_dec</f>
        <v/>
      </c>
      <c r="U15" s="20">
        <f>IF(Q15&gt;0,1-P15/Q15,-9)</f>
        <v/>
      </c>
      <c r="V15" s="20">
        <f>IF(R15&gt;0,1-P15/R15,-9)</f>
        <v/>
      </c>
      <c r="W15" s="20">
        <f>IF(S15&gt;0,1-P15/S15,-9)</f>
        <v/>
      </c>
      <c r="X15" s="20">
        <f>IF(T15&gt;0,1-P15/T15,-9)</f>
        <v/>
      </c>
      <c r="Y15" s="28">
        <f>IF(AND($D15=1,H15&gt;0,U15&gt;=p_gm_cen),1,0)</f>
        <v/>
      </c>
      <c r="Z15" s="28">
        <f>IF(AND($D15=1,J15&gt;0,V15&gt;=p_gm_cen),1,0)</f>
        <v/>
      </c>
      <c r="AA15" s="28">
        <f>IF(AND($D15=1,L15&gt;0,W15&gt;=p_gm_dec),1,0)</f>
        <v/>
      </c>
      <c r="AB15" s="28">
        <f>IF(AND($D15=1,N15&gt;0,X15&gt;=p_gm_dec),1,0)</f>
        <v/>
      </c>
      <c r="AC15" s="14">
        <f>AA15*L15*p_mkt*S15*p_rs_succ*p_share_dec</f>
        <v/>
      </c>
      <c r="AD15" s="14">
        <f>AB15*N15*p_mkt*T15*p_rs_succ*p_share_dec</f>
        <v/>
      </c>
      <c r="AE15" s="14">
        <f>Y15*H15*p_mkt*Q15*p_rs_succ*p_realiz</f>
        <v/>
      </c>
      <c r="AF15" s="14">
        <f>Z15*J15*p_mkt*R15*p_rs_succ*p_realiz_minsa</f>
        <v/>
      </c>
      <c r="AG15" s="14">
        <f>IF(S15&gt;0,AC15*P15/S15,0)</f>
        <v/>
      </c>
      <c r="AH15" s="14">
        <f>IF(T15&gt;0,AD15*P15/T15,0)</f>
        <v/>
      </c>
      <c r="AI15" s="14">
        <f>IF(Q15&gt;0,AE15*P15/Q15,0)</f>
        <v/>
      </c>
      <c r="AJ15" s="14">
        <f>IF(R15&gt;0,AF15*P15/R15,0)</f>
        <v/>
      </c>
      <c r="AK15" s="14">
        <f>AC15+AD15+AE15*p_pwin_cen+AF15*p_pwin_cen*p_minsa_occ</f>
        <v/>
      </c>
      <c r="AL15" s="14">
        <f>(AC15-AG15)+(AD15-AH15)+(AE15-AI15)*p_pwin_cen+(AF15-AJ15)*p_pwin_cen*p_minsa_occ</f>
        <v/>
      </c>
      <c r="AM15" s="20">
        <f>IF(P15&gt;0,E15*p_sup_idx*(1+p_pack)/P15,0)</f>
        <v/>
      </c>
      <c r="AN15" s="14">
        <f>IF(AND(Y15=1,H15&gt;0),H15*p_mkt*Q15*p_rs_succ,0)</f>
        <v/>
      </c>
    </row>
    <row r="16">
      <c r="A16" s="9" t="inlineStr">
        <is>
          <t>MOMCRM</t>
        </is>
      </c>
      <c r="B16" s="12" t="inlineStr">
        <is>
          <t>Mometasona 0.1% crema, tubo 15 g (renglón de corticoide de alta potencia)</t>
        </is>
      </c>
      <c r="C16" s="9" t="inlineStr">
        <is>
          <t>Primera ola</t>
        </is>
      </c>
      <c r="D16" s="25" t="n">
        <v>1</v>
      </c>
      <c r="E16" s="26" t="n">
        <v>0.1</v>
      </c>
      <c r="F16" s="26" t="n">
        <v>0.033</v>
      </c>
      <c r="G16" s="12" t="inlineStr">
        <is>
          <t>R: PMBI 2023-25 INR 6.00 por tubo; x1.4 = US$0.087; se usa 0.10; 110 cm3</t>
        </is>
      </c>
      <c r="H16" s="16" t="n">
        <v>65534</v>
      </c>
      <c r="I16" s="26" t="n">
        <v>1.02</v>
      </c>
      <c r="J16" s="16">
        <f>34482*p_cc_w</f>
        <v/>
      </c>
      <c r="K16" s="26" t="n">
        <v>0.65</v>
      </c>
      <c r="L16" s="16" t="n">
        <v>0</v>
      </c>
      <c r="M16" s="26" t="n">
        <v>0</v>
      </c>
      <c r="N16" s="16" t="n">
        <v>343</v>
      </c>
      <c r="O16" s="26" t="n">
        <v>3.66</v>
      </c>
      <c r="P16" s="27">
        <f>E16*p_sup_idx*(1+p_pack)+F16*p_log_mult</f>
        <v/>
      </c>
      <c r="Q16" s="27">
        <f>I16*p_pf_cen</f>
        <v/>
      </c>
      <c r="R16" s="27">
        <f>K16*p_pf_cen</f>
        <v/>
      </c>
      <c r="S16" s="27">
        <f>M16*p_pf_dec</f>
        <v/>
      </c>
      <c r="T16" s="27">
        <f>O16*p_pf_dec</f>
        <v/>
      </c>
      <c r="U16" s="20">
        <f>IF(Q16&gt;0,1-P16/Q16,-9)</f>
        <v/>
      </c>
      <c r="V16" s="20">
        <f>IF(R16&gt;0,1-P16/R16,-9)</f>
        <v/>
      </c>
      <c r="W16" s="20">
        <f>IF(S16&gt;0,1-P16/S16,-9)</f>
        <v/>
      </c>
      <c r="X16" s="20">
        <f>IF(T16&gt;0,1-P16/T16,-9)</f>
        <v/>
      </c>
      <c r="Y16" s="28">
        <f>IF(AND($D16=1,H16&gt;0,U16&gt;=p_gm_cen),1,0)</f>
        <v/>
      </c>
      <c r="Z16" s="28">
        <f>IF(AND($D16=1,J16&gt;0,V16&gt;=p_gm_cen),1,0)</f>
        <v/>
      </c>
      <c r="AA16" s="28">
        <f>IF(AND($D16=1,L16&gt;0,W16&gt;=p_gm_dec),1,0)</f>
        <v/>
      </c>
      <c r="AB16" s="28">
        <f>IF(AND($D16=1,N16&gt;0,X16&gt;=p_gm_dec),1,0)</f>
        <v/>
      </c>
      <c r="AC16" s="14">
        <f>AA16*L16*p_mkt*S16*p_rs_succ*p_share_dec</f>
        <v/>
      </c>
      <c r="AD16" s="14">
        <f>AB16*N16*p_mkt*T16*p_rs_succ*p_share_dec</f>
        <v/>
      </c>
      <c r="AE16" s="14">
        <f>Y16*H16*p_mkt*Q16*p_rs_succ*p_realiz</f>
        <v/>
      </c>
      <c r="AF16" s="14">
        <f>Z16*J16*p_mkt*R16*p_rs_succ*p_realiz_minsa</f>
        <v/>
      </c>
      <c r="AG16" s="14">
        <f>IF(S16&gt;0,AC16*P16/S16,0)</f>
        <v/>
      </c>
      <c r="AH16" s="14">
        <f>IF(T16&gt;0,AD16*P16/T16,0)</f>
        <v/>
      </c>
      <c r="AI16" s="14">
        <f>IF(Q16&gt;0,AE16*P16/Q16,0)</f>
        <v/>
      </c>
      <c r="AJ16" s="14">
        <f>IF(R16&gt;0,AF16*P16/R16,0)</f>
        <v/>
      </c>
      <c r="AK16" s="14">
        <f>AC16+AD16+AE16*p_pwin_cen+AF16*p_pwin_cen*p_minsa_occ</f>
        <v/>
      </c>
      <c r="AL16" s="14">
        <f>(AC16-AG16)+(AD16-AH16)+(AE16-AI16)*p_pwin_cen+(AF16-AJ16)*p_pwin_cen*p_minsa_occ</f>
        <v/>
      </c>
      <c r="AM16" s="20">
        <f>IF(P16&gt;0,E16*p_sup_idx*(1+p_pack)/P16,0)</f>
        <v/>
      </c>
      <c r="AN16" s="14">
        <f>IF(AND(Y16=1,H16&gt;0),H16*p_mkt*Q16*p_rs_succ,0)</f>
        <v/>
      </c>
    </row>
    <row r="17">
      <c r="A17" s="9" t="inlineStr">
        <is>
          <t>AMI10</t>
        </is>
      </c>
      <c r="B17" s="12" t="inlineStr">
        <is>
          <t>Amitriptilina 10 mg tableta</t>
        </is>
      </c>
      <c r="C17" s="9" t="inlineStr">
        <is>
          <t>SNC</t>
        </is>
      </c>
      <c r="D17" s="25" t="n">
        <v>0</v>
      </c>
      <c r="E17" s="26" t="n">
        <v>0.0028</v>
      </c>
      <c r="F17" s="26" t="n">
        <v>0.00054</v>
      </c>
      <c r="G17" s="12" t="inlineStr">
        <is>
          <t>R: Assam 2025 INR 1.90 por 10 (PMBI INR 1.99; TNMSC INR 1.71), x1.4</t>
        </is>
      </c>
      <c r="H17" s="16" t="n">
        <v>325776</v>
      </c>
      <c r="I17" s="26" t="n">
        <v>0.12</v>
      </c>
      <c r="J17" s="16">
        <f>152808*p_cc_w</f>
        <v/>
      </c>
      <c r="K17" s="26" t="n">
        <v>0.12</v>
      </c>
      <c r="L17" s="16" t="n">
        <v>0</v>
      </c>
      <c r="M17" s="26" t="n">
        <v>0</v>
      </c>
      <c r="N17" s="16" t="n">
        <v>0</v>
      </c>
      <c r="O17" s="26" t="n">
        <v>0</v>
      </c>
      <c r="P17" s="27">
        <f>E17*p_sup_idx*(1+p_pack)+F17*p_log_mult</f>
        <v/>
      </c>
      <c r="Q17" s="27">
        <f>I17*p_pf_cen</f>
        <v/>
      </c>
      <c r="R17" s="27">
        <f>K17*p_pf_cen</f>
        <v/>
      </c>
      <c r="S17" s="27">
        <f>M17*p_pf_dec</f>
        <v/>
      </c>
      <c r="T17" s="27">
        <f>O17*p_pf_dec</f>
        <v/>
      </c>
      <c r="U17" s="20">
        <f>IF(Q17&gt;0,1-P17/Q17,-9)</f>
        <v/>
      </c>
      <c r="V17" s="20">
        <f>IF(R17&gt;0,1-P17/R17,-9)</f>
        <v/>
      </c>
      <c r="W17" s="20">
        <f>IF(S17&gt;0,1-P17/S17,-9)</f>
        <v/>
      </c>
      <c r="X17" s="20">
        <f>IF(T17&gt;0,1-P17/T17,-9)</f>
        <v/>
      </c>
      <c r="Y17" s="28">
        <f>IF(AND($D17=1,H17&gt;0,U17&gt;=p_gm_cen),1,0)</f>
        <v/>
      </c>
      <c r="Z17" s="28">
        <f>IF(AND($D17=1,J17&gt;0,V17&gt;=p_gm_cen),1,0)</f>
        <v/>
      </c>
      <c r="AA17" s="28">
        <f>IF(AND($D17=1,L17&gt;0,W17&gt;=p_gm_dec),1,0)</f>
        <v/>
      </c>
      <c r="AB17" s="28">
        <f>IF(AND($D17=1,N17&gt;0,X17&gt;=p_gm_dec),1,0)</f>
        <v/>
      </c>
      <c r="AC17" s="14">
        <f>AA17*L17*p_mkt*S17*p_rs_succ*p_share_dec</f>
        <v/>
      </c>
      <c r="AD17" s="14">
        <f>AB17*N17*p_mkt*T17*p_rs_succ*p_share_dec</f>
        <v/>
      </c>
      <c r="AE17" s="14">
        <f>Y17*H17*p_mkt*Q17*p_rs_succ*p_realiz</f>
        <v/>
      </c>
      <c r="AF17" s="14">
        <f>Z17*J17*p_mkt*R17*p_rs_succ*p_realiz_minsa</f>
        <v/>
      </c>
      <c r="AG17" s="14">
        <f>IF(S17&gt;0,AC17*P17/S17,0)</f>
        <v/>
      </c>
      <c r="AH17" s="14">
        <f>IF(T17&gt;0,AD17*P17/T17,0)</f>
        <v/>
      </c>
      <c r="AI17" s="14">
        <f>IF(Q17&gt;0,AE17*P17/Q17,0)</f>
        <v/>
      </c>
      <c r="AJ17" s="14">
        <f>IF(R17&gt;0,AF17*P17/R17,0)</f>
        <v/>
      </c>
      <c r="AK17" s="14">
        <f>AC17+AD17+AE17*p_pwin_cen+AF17*p_pwin_cen*p_minsa_occ</f>
        <v/>
      </c>
      <c r="AL17" s="14">
        <f>(AC17-AG17)+(AD17-AH17)+(AE17-AI17)*p_pwin_cen+(AF17-AJ17)*p_pwin_cen*p_minsa_occ</f>
        <v/>
      </c>
      <c r="AM17" s="20">
        <f>IF(P17&gt;0,E17*p_sup_idx*(1+p_pack)/P17,0)</f>
        <v/>
      </c>
      <c r="AN17" s="14">
        <f>IF(AND(Y17=1,H17&gt;0),H17*p_mkt*Q17*p_rs_succ,0)</f>
        <v/>
      </c>
    </row>
    <row r="18">
      <c r="A18" s="9" t="inlineStr">
        <is>
          <t>AMI25</t>
        </is>
      </c>
      <c r="B18" s="12" t="inlineStr">
        <is>
          <t>Amitriptilina 25 mg tableta</t>
        </is>
      </c>
      <c r="C18" s="9" t="inlineStr">
        <is>
          <t>SNC</t>
        </is>
      </c>
      <c r="D18" s="25" t="n">
        <v>0</v>
      </c>
      <c r="E18" s="26" t="n">
        <v>0.0033</v>
      </c>
      <c r="F18" s="26" t="n">
        <v>0.00054</v>
      </c>
      <c r="G18" s="12" t="inlineStr">
        <is>
          <t>R: Assam 2025 INR 2.30 por 10 (TNMSC INR 19.63 por 100; PMBI INR 3.49 por 15), x1.4</t>
        </is>
      </c>
      <c r="H18" s="16" t="n">
        <v>1953204</v>
      </c>
      <c r="I18" s="26" t="n">
        <v>0.027</v>
      </c>
      <c r="J18" s="16" t="n">
        <v>0</v>
      </c>
      <c r="K18" s="26" t="n">
        <v>0</v>
      </c>
      <c r="L18" s="16" t="n">
        <v>0</v>
      </c>
      <c r="M18" s="26" t="n">
        <v>0</v>
      </c>
      <c r="N18" s="16" t="n">
        <v>3086</v>
      </c>
      <c r="O18" s="26" t="n">
        <v>0.4</v>
      </c>
      <c r="P18" s="27">
        <f>E18*p_sup_idx*(1+p_pack)+F18*p_log_mult</f>
        <v/>
      </c>
      <c r="Q18" s="27">
        <f>I18*p_pf_cen</f>
        <v/>
      </c>
      <c r="R18" s="27">
        <f>K18*p_pf_cen</f>
        <v/>
      </c>
      <c r="S18" s="27">
        <f>M18*p_pf_dec</f>
        <v/>
      </c>
      <c r="T18" s="27">
        <f>O18*p_pf_dec</f>
        <v/>
      </c>
      <c r="U18" s="20">
        <f>IF(Q18&gt;0,1-P18/Q18,-9)</f>
        <v/>
      </c>
      <c r="V18" s="20">
        <f>IF(R18&gt;0,1-P18/R18,-9)</f>
        <v/>
      </c>
      <c r="W18" s="20">
        <f>IF(S18&gt;0,1-P18/S18,-9)</f>
        <v/>
      </c>
      <c r="X18" s="20">
        <f>IF(T18&gt;0,1-P18/T18,-9)</f>
        <v/>
      </c>
      <c r="Y18" s="28">
        <f>IF(AND($D18=1,H18&gt;0,U18&gt;=p_gm_cen),1,0)</f>
        <v/>
      </c>
      <c r="Z18" s="28">
        <f>IF(AND($D18=1,J18&gt;0,V18&gt;=p_gm_cen),1,0)</f>
        <v/>
      </c>
      <c r="AA18" s="28">
        <f>IF(AND($D18=1,L18&gt;0,W18&gt;=p_gm_dec),1,0)</f>
        <v/>
      </c>
      <c r="AB18" s="28">
        <f>IF(AND($D18=1,N18&gt;0,X18&gt;=p_gm_dec),1,0)</f>
        <v/>
      </c>
      <c r="AC18" s="14">
        <f>AA18*L18*p_mkt*S18*p_rs_succ*p_share_dec</f>
        <v/>
      </c>
      <c r="AD18" s="14">
        <f>AB18*N18*p_mkt*T18*p_rs_succ*p_share_dec</f>
        <v/>
      </c>
      <c r="AE18" s="14">
        <f>Y18*H18*p_mkt*Q18*p_rs_succ*p_realiz</f>
        <v/>
      </c>
      <c r="AF18" s="14">
        <f>Z18*J18*p_mkt*R18*p_rs_succ*p_realiz_minsa</f>
        <v/>
      </c>
      <c r="AG18" s="14">
        <f>IF(S18&gt;0,AC18*P18/S18,0)</f>
        <v/>
      </c>
      <c r="AH18" s="14">
        <f>IF(T18&gt;0,AD18*P18/T18,0)</f>
        <v/>
      </c>
      <c r="AI18" s="14">
        <f>IF(Q18&gt;0,AE18*P18/Q18,0)</f>
        <v/>
      </c>
      <c r="AJ18" s="14">
        <f>IF(R18&gt;0,AF18*P18/R18,0)</f>
        <v/>
      </c>
      <c r="AK18" s="14">
        <f>AC18+AD18+AE18*p_pwin_cen+AF18*p_pwin_cen*p_minsa_occ</f>
        <v/>
      </c>
      <c r="AL18" s="14">
        <f>(AC18-AG18)+(AD18-AH18)+(AE18-AI18)*p_pwin_cen+(AF18-AJ18)*p_pwin_cen*p_minsa_occ</f>
        <v/>
      </c>
      <c r="AM18" s="20">
        <f>IF(P18&gt;0,E18*p_sup_idx*(1+p_pack)/P18,0)</f>
        <v/>
      </c>
      <c r="AN18" s="14">
        <f>IF(AND(Y18=1,H18&gt;0),H18*p_mkt*Q18*p_rs_succ,0)</f>
        <v/>
      </c>
    </row>
    <row r="19">
      <c r="A19" s="9" t="inlineStr">
        <is>
          <t>QTP25</t>
        </is>
      </c>
      <c r="B19" s="12" t="inlineStr">
        <is>
          <t>Quetiapina 25 mg tableta</t>
        </is>
      </c>
      <c r="C19" s="9" t="inlineStr">
        <is>
          <t>SNC</t>
        </is>
      </c>
      <c r="D19" s="25" t="n">
        <v>0</v>
      </c>
      <c r="E19" s="26" t="n">
        <v>0.0053</v>
      </c>
      <c r="F19" s="26" t="n">
        <v>0.00054</v>
      </c>
      <c r="G19" s="12" t="inlineStr">
        <is>
          <t>R: PMBI 2023-26 INR 3.69 por 10 x1.4</t>
        </is>
      </c>
      <c r="H19" s="16" t="n">
        <v>0</v>
      </c>
      <c r="I19" s="26" t="n">
        <v>0</v>
      </c>
      <c r="J19" s="16" t="n">
        <v>0</v>
      </c>
      <c r="K19" s="26" t="n">
        <v>0</v>
      </c>
      <c r="L19" s="16" t="n">
        <v>0</v>
      </c>
      <c r="M19" s="26" t="n">
        <v>0</v>
      </c>
      <c r="N19" s="16" t="n">
        <v>558798</v>
      </c>
      <c r="O19" s="26" t="n">
        <v>0.18</v>
      </c>
      <c r="P19" s="27">
        <f>E19*p_sup_idx*(1+p_pack)+F19*p_log_mult</f>
        <v/>
      </c>
      <c r="Q19" s="27">
        <f>I19*p_pf_cen</f>
        <v/>
      </c>
      <c r="R19" s="27">
        <f>K19*p_pf_cen</f>
        <v/>
      </c>
      <c r="S19" s="27">
        <f>M19*p_pf_dec</f>
        <v/>
      </c>
      <c r="T19" s="27">
        <f>O19*p_pf_dec</f>
        <v/>
      </c>
      <c r="U19" s="20">
        <f>IF(Q19&gt;0,1-P19/Q19,-9)</f>
        <v/>
      </c>
      <c r="V19" s="20">
        <f>IF(R19&gt;0,1-P19/R19,-9)</f>
        <v/>
      </c>
      <c r="W19" s="20">
        <f>IF(S19&gt;0,1-P19/S19,-9)</f>
        <v/>
      </c>
      <c r="X19" s="20">
        <f>IF(T19&gt;0,1-P19/T19,-9)</f>
        <v/>
      </c>
      <c r="Y19" s="28">
        <f>IF(AND($D19=1,H19&gt;0,U19&gt;=p_gm_cen),1,0)</f>
        <v/>
      </c>
      <c r="Z19" s="28">
        <f>IF(AND($D19=1,J19&gt;0,V19&gt;=p_gm_cen),1,0)</f>
        <v/>
      </c>
      <c r="AA19" s="28">
        <f>IF(AND($D19=1,L19&gt;0,W19&gt;=p_gm_dec),1,0)</f>
        <v/>
      </c>
      <c r="AB19" s="28">
        <f>IF(AND($D19=1,N19&gt;0,X19&gt;=p_gm_dec),1,0)</f>
        <v/>
      </c>
      <c r="AC19" s="14">
        <f>AA19*L19*p_mkt*S19*p_rs_succ*p_share_dec</f>
        <v/>
      </c>
      <c r="AD19" s="14">
        <f>AB19*N19*p_mkt*T19*p_rs_succ*p_share_dec</f>
        <v/>
      </c>
      <c r="AE19" s="14">
        <f>Y19*H19*p_mkt*Q19*p_rs_succ*p_realiz</f>
        <v/>
      </c>
      <c r="AF19" s="14">
        <f>Z19*J19*p_mkt*R19*p_rs_succ*p_realiz_minsa</f>
        <v/>
      </c>
      <c r="AG19" s="14">
        <f>IF(S19&gt;0,AC19*P19/S19,0)</f>
        <v/>
      </c>
      <c r="AH19" s="14">
        <f>IF(T19&gt;0,AD19*P19/T19,0)</f>
        <v/>
      </c>
      <c r="AI19" s="14">
        <f>IF(Q19&gt;0,AE19*P19/Q19,0)</f>
        <v/>
      </c>
      <c r="AJ19" s="14">
        <f>IF(R19&gt;0,AF19*P19/R19,0)</f>
        <v/>
      </c>
      <c r="AK19" s="14">
        <f>AC19+AD19+AE19*p_pwin_cen+AF19*p_pwin_cen*p_minsa_occ</f>
        <v/>
      </c>
      <c r="AL19" s="14">
        <f>(AC19-AG19)+(AD19-AH19)+(AE19-AI19)*p_pwin_cen+(AF19-AJ19)*p_pwin_cen*p_minsa_occ</f>
        <v/>
      </c>
      <c r="AM19" s="20">
        <f>IF(P19&gt;0,E19*p_sup_idx*(1+p_pack)/P19,0)</f>
        <v/>
      </c>
      <c r="AN19" s="14">
        <f>IF(AND(Y19=1,H19&gt;0),H19*p_mkt*Q19*p_rs_succ,0)</f>
        <v/>
      </c>
    </row>
    <row r="20">
      <c r="A20" s="9" t="inlineStr">
        <is>
          <t>QTP100</t>
        </is>
      </c>
      <c r="B20" s="12" t="inlineStr">
        <is>
          <t>Quetiapina 100 mg tableta</t>
        </is>
      </c>
      <c r="C20" s="9" t="inlineStr">
        <is>
          <t>SNC</t>
        </is>
      </c>
      <c r="D20" s="25" t="n">
        <v>0</v>
      </c>
      <c r="E20" s="26" t="n">
        <v>0.0138</v>
      </c>
      <c r="F20" s="26" t="n">
        <v>0.00066</v>
      </c>
      <c r="G20" s="12" t="inlineStr">
        <is>
          <t>R: interpolado de PMBI 25 y 200 mg x1.4</t>
        </is>
      </c>
      <c r="H20" s="16" t="n">
        <v>0</v>
      </c>
      <c r="I20" s="26" t="n">
        <v>0</v>
      </c>
      <c r="J20" s="16" t="n">
        <v>0</v>
      </c>
      <c r="K20" s="26" t="n">
        <v>0</v>
      </c>
      <c r="L20" s="16" t="n">
        <v>0</v>
      </c>
      <c r="M20" s="26" t="n">
        <v>0</v>
      </c>
      <c r="N20" s="16" t="n">
        <v>509795</v>
      </c>
      <c r="O20" s="26" t="n">
        <v>0.13</v>
      </c>
      <c r="P20" s="27">
        <f>E20*p_sup_idx*(1+p_pack)+F20*p_log_mult</f>
        <v/>
      </c>
      <c r="Q20" s="27">
        <f>I20*p_pf_cen</f>
        <v/>
      </c>
      <c r="R20" s="27">
        <f>K20*p_pf_cen</f>
        <v/>
      </c>
      <c r="S20" s="27">
        <f>M20*p_pf_dec</f>
        <v/>
      </c>
      <c r="T20" s="27">
        <f>O20*p_pf_dec</f>
        <v/>
      </c>
      <c r="U20" s="20">
        <f>IF(Q20&gt;0,1-P20/Q20,-9)</f>
        <v/>
      </c>
      <c r="V20" s="20">
        <f>IF(R20&gt;0,1-P20/R20,-9)</f>
        <v/>
      </c>
      <c r="W20" s="20">
        <f>IF(S20&gt;0,1-P20/S20,-9)</f>
        <v/>
      </c>
      <c r="X20" s="20">
        <f>IF(T20&gt;0,1-P20/T20,-9)</f>
        <v/>
      </c>
      <c r="Y20" s="28">
        <f>IF(AND($D20=1,H20&gt;0,U20&gt;=p_gm_cen),1,0)</f>
        <v/>
      </c>
      <c r="Z20" s="28">
        <f>IF(AND($D20=1,J20&gt;0,V20&gt;=p_gm_cen),1,0)</f>
        <v/>
      </c>
      <c r="AA20" s="28">
        <f>IF(AND($D20=1,L20&gt;0,W20&gt;=p_gm_dec),1,0)</f>
        <v/>
      </c>
      <c r="AB20" s="28">
        <f>IF(AND($D20=1,N20&gt;0,X20&gt;=p_gm_dec),1,0)</f>
        <v/>
      </c>
      <c r="AC20" s="14">
        <f>AA20*L20*p_mkt*S20*p_rs_succ*p_share_dec</f>
        <v/>
      </c>
      <c r="AD20" s="14">
        <f>AB20*N20*p_mkt*T20*p_rs_succ*p_share_dec</f>
        <v/>
      </c>
      <c r="AE20" s="14">
        <f>Y20*H20*p_mkt*Q20*p_rs_succ*p_realiz</f>
        <v/>
      </c>
      <c r="AF20" s="14">
        <f>Z20*J20*p_mkt*R20*p_rs_succ*p_realiz_minsa</f>
        <v/>
      </c>
      <c r="AG20" s="14">
        <f>IF(S20&gt;0,AC20*P20/S20,0)</f>
        <v/>
      </c>
      <c r="AH20" s="14">
        <f>IF(T20&gt;0,AD20*P20/T20,0)</f>
        <v/>
      </c>
      <c r="AI20" s="14">
        <f>IF(Q20&gt;0,AE20*P20/Q20,0)</f>
        <v/>
      </c>
      <c r="AJ20" s="14">
        <f>IF(R20&gt;0,AF20*P20/R20,0)</f>
        <v/>
      </c>
      <c r="AK20" s="14">
        <f>AC20+AD20+AE20*p_pwin_cen+AF20*p_pwin_cen*p_minsa_occ</f>
        <v/>
      </c>
      <c r="AL20" s="14">
        <f>(AC20-AG20)+(AD20-AH20)+(AE20-AI20)*p_pwin_cen+(AF20-AJ20)*p_pwin_cen*p_minsa_occ</f>
        <v/>
      </c>
      <c r="AM20" s="20">
        <f>IF(P20&gt;0,E20*p_sup_idx*(1+p_pack)/P20,0)</f>
        <v/>
      </c>
      <c r="AN20" s="14">
        <f>IF(AND(Y20=1,H20&gt;0),H20*p_mkt*Q20*p_rs_succ,0)</f>
        <v/>
      </c>
    </row>
    <row r="21">
      <c r="A21" s="9" t="inlineStr">
        <is>
          <t>QTP200</t>
        </is>
      </c>
      <c r="B21" s="12" t="inlineStr">
        <is>
          <t>Quetiapina 200 mg tableta</t>
        </is>
      </c>
      <c r="C21" s="9" t="inlineStr">
        <is>
          <t>SNC</t>
        </is>
      </c>
      <c r="D21" s="25" t="n">
        <v>0</v>
      </c>
      <c r="E21" s="26" t="n">
        <v>0.0216</v>
      </c>
      <c r="F21" s="26" t="n">
        <v>0.00075</v>
      </c>
      <c r="G21" s="12" t="inlineStr">
        <is>
          <t>R: PMBI 2023-25 INR 14.90 por 10 x1.4</t>
        </is>
      </c>
      <c r="H21" s="16" t="n">
        <v>1376100</v>
      </c>
      <c r="I21" s="26" t="n">
        <v>0.079</v>
      </c>
      <c r="J21" s="16" t="n">
        <v>0</v>
      </c>
      <c r="K21" s="26" t="n">
        <v>0</v>
      </c>
      <c r="L21" s="16" t="n">
        <v>243829</v>
      </c>
      <c r="M21" s="26" t="n">
        <v>0.21</v>
      </c>
      <c r="N21" s="16" t="n">
        <v>28886</v>
      </c>
      <c r="O21" s="26" t="n">
        <v>0.2</v>
      </c>
      <c r="P21" s="27">
        <f>E21*p_sup_idx*(1+p_pack)+F21*p_log_mult</f>
        <v/>
      </c>
      <c r="Q21" s="27">
        <f>I21*p_pf_cen</f>
        <v/>
      </c>
      <c r="R21" s="27">
        <f>K21*p_pf_cen</f>
        <v/>
      </c>
      <c r="S21" s="27">
        <f>M21*p_pf_dec</f>
        <v/>
      </c>
      <c r="T21" s="27">
        <f>O21*p_pf_dec</f>
        <v/>
      </c>
      <c r="U21" s="20">
        <f>IF(Q21&gt;0,1-P21/Q21,-9)</f>
        <v/>
      </c>
      <c r="V21" s="20">
        <f>IF(R21&gt;0,1-P21/R21,-9)</f>
        <v/>
      </c>
      <c r="W21" s="20">
        <f>IF(S21&gt;0,1-P21/S21,-9)</f>
        <v/>
      </c>
      <c r="X21" s="20">
        <f>IF(T21&gt;0,1-P21/T21,-9)</f>
        <v/>
      </c>
      <c r="Y21" s="28">
        <f>IF(AND($D21=1,H21&gt;0,U21&gt;=p_gm_cen),1,0)</f>
        <v/>
      </c>
      <c r="Z21" s="28">
        <f>IF(AND($D21=1,J21&gt;0,V21&gt;=p_gm_cen),1,0)</f>
        <v/>
      </c>
      <c r="AA21" s="28">
        <f>IF(AND($D21=1,L21&gt;0,W21&gt;=p_gm_dec),1,0)</f>
        <v/>
      </c>
      <c r="AB21" s="28">
        <f>IF(AND($D21=1,N21&gt;0,X21&gt;=p_gm_dec),1,0)</f>
        <v/>
      </c>
      <c r="AC21" s="14">
        <f>AA21*L21*p_mkt*S21*p_rs_succ*p_share_dec</f>
        <v/>
      </c>
      <c r="AD21" s="14">
        <f>AB21*N21*p_mkt*T21*p_rs_succ*p_share_dec</f>
        <v/>
      </c>
      <c r="AE21" s="14">
        <f>Y21*H21*p_mkt*Q21*p_rs_succ*p_realiz</f>
        <v/>
      </c>
      <c r="AF21" s="14">
        <f>Z21*J21*p_mkt*R21*p_rs_succ*p_realiz_minsa</f>
        <v/>
      </c>
      <c r="AG21" s="14">
        <f>IF(S21&gt;0,AC21*P21/S21,0)</f>
        <v/>
      </c>
      <c r="AH21" s="14">
        <f>IF(T21&gt;0,AD21*P21/T21,0)</f>
        <v/>
      </c>
      <c r="AI21" s="14">
        <f>IF(Q21&gt;0,AE21*P21/Q21,0)</f>
        <v/>
      </c>
      <c r="AJ21" s="14">
        <f>IF(R21&gt;0,AF21*P21/R21,0)</f>
        <v/>
      </c>
      <c r="AK21" s="14">
        <f>AC21+AD21+AE21*p_pwin_cen+AF21*p_pwin_cen*p_minsa_occ</f>
        <v/>
      </c>
      <c r="AL21" s="14">
        <f>(AC21-AG21)+(AD21-AH21)+(AE21-AI21)*p_pwin_cen+(AF21-AJ21)*p_pwin_cen*p_minsa_occ</f>
        <v/>
      </c>
      <c r="AM21" s="20">
        <f>IF(P21&gt;0,E21*p_sup_idx*(1+p_pack)/P21,0)</f>
        <v/>
      </c>
      <c r="AN21" s="14">
        <f>IF(AND(Y21=1,H21&gt;0),H21*p_mkt*Q21*p_rs_succ,0)</f>
        <v/>
      </c>
    </row>
    <row r="22">
      <c r="A22" s="9" t="inlineStr">
        <is>
          <t>TPM100</t>
        </is>
      </c>
      <c r="B22" s="12" t="inlineStr">
        <is>
          <t>Topiramato 100 mg tableta</t>
        </is>
      </c>
      <c r="C22" s="9" t="inlineStr">
        <is>
          <t>SNC</t>
        </is>
      </c>
      <c r="D22" s="25" t="n">
        <v>0</v>
      </c>
      <c r="E22" s="26" t="n">
        <v>0.0116</v>
      </c>
      <c r="F22" s="26" t="n">
        <v>0.0005999999999999999</v>
      </c>
      <c r="G22" s="12" t="inlineStr">
        <is>
          <t>R: PMBI 2023-25 INR 7.98 por 10 x1.4</t>
        </is>
      </c>
      <c r="H22" s="16" t="n">
        <v>443907</v>
      </c>
      <c r="I22" s="26" t="n">
        <v>0.065</v>
      </c>
      <c r="J22" s="16" t="n">
        <v>0</v>
      </c>
      <c r="K22" s="26" t="n">
        <v>0</v>
      </c>
      <c r="L22" s="16" t="n">
        <v>26343</v>
      </c>
      <c r="M22" s="26" t="n">
        <v>1.02</v>
      </c>
      <c r="N22" s="16" t="n">
        <v>4640</v>
      </c>
      <c r="O22" s="26" t="n">
        <v>1.18</v>
      </c>
      <c r="P22" s="27">
        <f>E22*p_sup_idx*(1+p_pack)+F22*p_log_mult</f>
        <v/>
      </c>
      <c r="Q22" s="27">
        <f>I22*p_pf_cen</f>
        <v/>
      </c>
      <c r="R22" s="27">
        <f>K22*p_pf_cen</f>
        <v/>
      </c>
      <c r="S22" s="27">
        <f>M22*p_pf_dec</f>
        <v/>
      </c>
      <c r="T22" s="27">
        <f>O22*p_pf_dec</f>
        <v/>
      </c>
      <c r="U22" s="20">
        <f>IF(Q22&gt;0,1-P22/Q22,-9)</f>
        <v/>
      </c>
      <c r="V22" s="20">
        <f>IF(R22&gt;0,1-P22/R22,-9)</f>
        <v/>
      </c>
      <c r="W22" s="20">
        <f>IF(S22&gt;0,1-P22/S22,-9)</f>
        <v/>
      </c>
      <c r="X22" s="20">
        <f>IF(T22&gt;0,1-P22/T22,-9)</f>
        <v/>
      </c>
      <c r="Y22" s="28">
        <f>IF(AND($D22=1,H22&gt;0,U22&gt;=p_gm_cen),1,0)</f>
        <v/>
      </c>
      <c r="Z22" s="28">
        <f>IF(AND($D22=1,J22&gt;0,V22&gt;=p_gm_cen),1,0)</f>
        <v/>
      </c>
      <c r="AA22" s="28">
        <f>IF(AND($D22=1,L22&gt;0,W22&gt;=p_gm_dec),1,0)</f>
        <v/>
      </c>
      <c r="AB22" s="28">
        <f>IF(AND($D22=1,N22&gt;0,X22&gt;=p_gm_dec),1,0)</f>
        <v/>
      </c>
      <c r="AC22" s="14">
        <f>AA22*L22*p_mkt*S22*p_rs_succ*p_share_dec</f>
        <v/>
      </c>
      <c r="AD22" s="14">
        <f>AB22*N22*p_mkt*T22*p_rs_succ*p_share_dec</f>
        <v/>
      </c>
      <c r="AE22" s="14">
        <f>Y22*H22*p_mkt*Q22*p_rs_succ*p_realiz</f>
        <v/>
      </c>
      <c r="AF22" s="14">
        <f>Z22*J22*p_mkt*R22*p_rs_succ*p_realiz_minsa</f>
        <v/>
      </c>
      <c r="AG22" s="14">
        <f>IF(S22&gt;0,AC22*P22/S22,0)</f>
        <v/>
      </c>
      <c r="AH22" s="14">
        <f>IF(T22&gt;0,AD22*P22/T22,0)</f>
        <v/>
      </c>
      <c r="AI22" s="14">
        <f>IF(Q22&gt;0,AE22*P22/Q22,0)</f>
        <v/>
      </c>
      <c r="AJ22" s="14">
        <f>IF(R22&gt;0,AF22*P22/R22,0)</f>
        <v/>
      </c>
      <c r="AK22" s="14">
        <f>AC22+AD22+AE22*p_pwin_cen+AF22*p_pwin_cen*p_minsa_occ</f>
        <v/>
      </c>
      <c r="AL22" s="14">
        <f>(AC22-AG22)+(AD22-AH22)+(AE22-AI22)*p_pwin_cen+(AF22-AJ22)*p_pwin_cen*p_minsa_occ</f>
        <v/>
      </c>
      <c r="AM22" s="20">
        <f>IF(P22&gt;0,E22*p_sup_idx*(1+p_pack)/P22,0)</f>
        <v/>
      </c>
      <c r="AN22" s="14">
        <f>IF(AND(Y22=1,H22&gt;0),H22*p_mkt*Q22*p_rs_succ,0)</f>
        <v/>
      </c>
    </row>
    <row r="23">
      <c r="B23" s="7" t="inlineStr">
        <is>
          <t>Totales (productos incluidos)</t>
        </is>
      </c>
      <c r="AC23" s="24">
        <f>SUM(AC6:AC22)</f>
        <v/>
      </c>
      <c r="AD23" s="24">
        <f>SUM(AD6:AD22)</f>
        <v/>
      </c>
      <c r="AE23" s="24">
        <f>SUM(AE6:AE22)</f>
        <v/>
      </c>
      <c r="AF23" s="24">
        <f>SUM(AF6:AF22)</f>
        <v/>
      </c>
      <c r="AG23" s="24">
        <f>SUM(AG6:AG22)</f>
        <v/>
      </c>
      <c r="AH23" s="24">
        <f>SUM(AH6:AH22)</f>
        <v/>
      </c>
      <c r="AI23" s="24">
        <f>SUM(AI6:AI22)</f>
        <v/>
      </c>
      <c r="AJ23" s="24">
        <f>SUM(AJ6:AJ22)</f>
        <v/>
      </c>
      <c r="AK23" s="24">
        <f>SUM(AK6:AK22)</f>
        <v/>
      </c>
      <c r="AL23" s="24">
        <f>SUM(AL6:AL22)</f>
        <v/>
      </c>
      <c r="AM23" s="29">
        <f>IF(SUM(AG6:AJ22)&gt;0,SUMPRODUCT(AG6:AG22+AH6:AH22+AI6:AI22+AJ6:AJ22,AM6:AM22)/SUM(AG6:AJ22),0)</f>
        <v/>
      </c>
      <c r="AN23" s="24">
        <f>SUM(AN6:AN22)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</cols>
  <sheetData>
    <row r="1">
      <c r="A1" s="6" t="inlineStr">
        <is>
          <t>Flujo mensual (B/.)</t>
        </is>
      </c>
    </row>
    <row r="2">
      <c r="C2" s="10" t="inlineStr">
        <is>
          <t>Mes 0</t>
        </is>
      </c>
    </row>
    <row r="3">
      <c r="A3" s="30" t="inlineStr">
        <is>
          <t>Mes</t>
        </is>
      </c>
      <c r="B3" s="31" t="n"/>
      <c r="C3" s="32" t="n">
        <v>0</v>
      </c>
      <c r="D3" s="33" t="n">
        <v>1</v>
      </c>
      <c r="E3" s="33" t="n">
        <v>2</v>
      </c>
      <c r="F3" s="33" t="n">
        <v>3</v>
      </c>
      <c r="G3" s="33" t="n">
        <v>4</v>
      </c>
      <c r="H3" s="33" t="n">
        <v>5</v>
      </c>
      <c r="I3" s="33" t="n">
        <v>6</v>
      </c>
      <c r="J3" s="33" t="n">
        <v>7</v>
      </c>
      <c r="K3" s="33" t="n">
        <v>8</v>
      </c>
      <c r="L3" s="33" t="n">
        <v>9</v>
      </c>
      <c r="M3" s="33" t="n">
        <v>10</v>
      </c>
      <c r="N3" s="33" t="n">
        <v>11</v>
      </c>
      <c r="O3" s="33" t="n">
        <v>12</v>
      </c>
      <c r="P3" s="33" t="n">
        <v>13</v>
      </c>
      <c r="Q3" s="33" t="n">
        <v>14</v>
      </c>
      <c r="R3" s="33" t="n">
        <v>15</v>
      </c>
      <c r="S3" s="33" t="n">
        <v>16</v>
      </c>
      <c r="T3" s="33" t="n">
        <v>17</v>
      </c>
      <c r="U3" s="33" t="n">
        <v>18</v>
      </c>
      <c r="V3" s="33" t="n">
        <v>19</v>
      </c>
      <c r="W3" s="33" t="n">
        <v>20</v>
      </c>
      <c r="X3" s="33" t="n">
        <v>21</v>
      </c>
      <c r="Y3" s="33" t="n">
        <v>22</v>
      </c>
      <c r="Z3" s="33" t="n">
        <v>23</v>
      </c>
      <c r="AA3" s="33" t="n">
        <v>24</v>
      </c>
      <c r="AB3" s="33" t="n">
        <v>25</v>
      </c>
      <c r="AC3" s="33" t="n">
        <v>26</v>
      </c>
      <c r="AD3" s="33" t="n">
        <v>27</v>
      </c>
      <c r="AE3" s="33" t="n">
        <v>28</v>
      </c>
      <c r="AF3" s="33" t="n">
        <v>29</v>
      </c>
      <c r="AG3" s="33" t="n">
        <v>30</v>
      </c>
      <c r="AH3" s="33" t="n">
        <v>31</v>
      </c>
      <c r="AI3" s="33" t="n">
        <v>32</v>
      </c>
      <c r="AJ3" s="33" t="n">
        <v>33</v>
      </c>
      <c r="AK3" s="33" t="n">
        <v>34</v>
      </c>
      <c r="AL3" s="33" t="n">
        <v>35</v>
      </c>
      <c r="AM3" s="33" t="n">
        <v>36</v>
      </c>
      <c r="AN3" s="33" t="n">
        <v>37</v>
      </c>
      <c r="AO3" s="33" t="n">
        <v>38</v>
      </c>
      <c r="AP3" s="33" t="n">
        <v>39</v>
      </c>
      <c r="AQ3" s="33" t="n">
        <v>40</v>
      </c>
      <c r="AR3" s="33" t="n">
        <v>41</v>
      </c>
      <c r="AS3" s="33" t="n">
        <v>42</v>
      </c>
      <c r="AT3" s="33" t="n">
        <v>43</v>
      </c>
      <c r="AU3" s="33" t="n">
        <v>44</v>
      </c>
      <c r="AV3" s="33" t="n">
        <v>45</v>
      </c>
      <c r="AW3" s="33" t="n">
        <v>46</v>
      </c>
      <c r="AX3" s="33" t="n">
        <v>47</v>
      </c>
      <c r="AY3" s="33" t="n">
        <v>48</v>
      </c>
      <c r="AZ3" s="33" t="n">
        <v>49</v>
      </c>
      <c r="BA3" s="33" t="n">
        <v>50</v>
      </c>
      <c r="BB3" s="33" t="n">
        <v>51</v>
      </c>
      <c r="BC3" s="33" t="n">
        <v>52</v>
      </c>
      <c r="BD3" s="33" t="n">
        <v>53</v>
      </c>
      <c r="BE3" s="33" t="n">
        <v>54</v>
      </c>
      <c r="BF3" s="33" t="n">
        <v>55</v>
      </c>
      <c r="BG3" s="33" t="n">
        <v>56</v>
      </c>
      <c r="BH3" s="33" t="n">
        <v>57</v>
      </c>
      <c r="BI3" s="33" t="n">
        <v>58</v>
      </c>
      <c r="BJ3" s="33" t="n">
        <v>59</v>
      </c>
      <c r="BK3" s="33" t="n">
        <v>60</v>
      </c>
      <c r="BL3" s="33" t="n">
        <v>61</v>
      </c>
    </row>
    <row r="4">
      <c r="A4" s="9" t="inlineStr">
        <is>
          <t>Año</t>
        </is>
      </c>
      <c r="D4" s="28">
        <f>INT((MIN(D$3,60)-1)/12)+1</f>
        <v/>
      </c>
      <c r="E4" s="28">
        <f>INT((MIN(E$3,60)-1)/12)+1</f>
        <v/>
      </c>
      <c r="F4" s="28">
        <f>INT((MIN(F$3,60)-1)/12)+1</f>
        <v/>
      </c>
      <c r="G4" s="28">
        <f>INT((MIN(G$3,60)-1)/12)+1</f>
        <v/>
      </c>
      <c r="H4" s="28">
        <f>INT((MIN(H$3,60)-1)/12)+1</f>
        <v/>
      </c>
      <c r="I4" s="28">
        <f>INT((MIN(I$3,60)-1)/12)+1</f>
        <v/>
      </c>
      <c r="J4" s="28">
        <f>INT((MIN(J$3,60)-1)/12)+1</f>
        <v/>
      </c>
      <c r="K4" s="28">
        <f>INT((MIN(K$3,60)-1)/12)+1</f>
        <v/>
      </c>
      <c r="L4" s="28">
        <f>INT((MIN(L$3,60)-1)/12)+1</f>
        <v/>
      </c>
      <c r="M4" s="28">
        <f>INT((MIN(M$3,60)-1)/12)+1</f>
        <v/>
      </c>
      <c r="N4" s="28">
        <f>INT((MIN(N$3,60)-1)/12)+1</f>
        <v/>
      </c>
      <c r="O4" s="28">
        <f>INT((MIN(O$3,60)-1)/12)+1</f>
        <v/>
      </c>
      <c r="P4" s="28">
        <f>INT((MIN(P$3,60)-1)/12)+1</f>
        <v/>
      </c>
      <c r="Q4" s="28">
        <f>INT((MIN(Q$3,60)-1)/12)+1</f>
        <v/>
      </c>
      <c r="R4" s="28">
        <f>INT((MIN(R$3,60)-1)/12)+1</f>
        <v/>
      </c>
      <c r="S4" s="28">
        <f>INT((MIN(S$3,60)-1)/12)+1</f>
        <v/>
      </c>
      <c r="T4" s="28">
        <f>INT((MIN(T$3,60)-1)/12)+1</f>
        <v/>
      </c>
      <c r="U4" s="28">
        <f>INT((MIN(U$3,60)-1)/12)+1</f>
        <v/>
      </c>
      <c r="V4" s="28">
        <f>INT((MIN(V$3,60)-1)/12)+1</f>
        <v/>
      </c>
      <c r="W4" s="28">
        <f>INT((MIN(W$3,60)-1)/12)+1</f>
        <v/>
      </c>
      <c r="X4" s="28">
        <f>INT((MIN(X$3,60)-1)/12)+1</f>
        <v/>
      </c>
      <c r="Y4" s="28">
        <f>INT((MIN(Y$3,60)-1)/12)+1</f>
        <v/>
      </c>
      <c r="Z4" s="28">
        <f>INT((MIN(Z$3,60)-1)/12)+1</f>
        <v/>
      </c>
      <c r="AA4" s="28">
        <f>INT((MIN(AA$3,60)-1)/12)+1</f>
        <v/>
      </c>
      <c r="AB4" s="28">
        <f>INT((MIN(AB$3,60)-1)/12)+1</f>
        <v/>
      </c>
      <c r="AC4" s="28">
        <f>INT((MIN(AC$3,60)-1)/12)+1</f>
        <v/>
      </c>
      <c r="AD4" s="28">
        <f>INT((MIN(AD$3,60)-1)/12)+1</f>
        <v/>
      </c>
      <c r="AE4" s="28">
        <f>INT((MIN(AE$3,60)-1)/12)+1</f>
        <v/>
      </c>
      <c r="AF4" s="28">
        <f>INT((MIN(AF$3,60)-1)/12)+1</f>
        <v/>
      </c>
      <c r="AG4" s="28">
        <f>INT((MIN(AG$3,60)-1)/12)+1</f>
        <v/>
      </c>
      <c r="AH4" s="28">
        <f>INT((MIN(AH$3,60)-1)/12)+1</f>
        <v/>
      </c>
      <c r="AI4" s="28">
        <f>INT((MIN(AI$3,60)-1)/12)+1</f>
        <v/>
      </c>
      <c r="AJ4" s="28">
        <f>INT((MIN(AJ$3,60)-1)/12)+1</f>
        <v/>
      </c>
      <c r="AK4" s="28">
        <f>INT((MIN(AK$3,60)-1)/12)+1</f>
        <v/>
      </c>
      <c r="AL4" s="28">
        <f>INT((MIN(AL$3,60)-1)/12)+1</f>
        <v/>
      </c>
      <c r="AM4" s="28">
        <f>INT((MIN(AM$3,60)-1)/12)+1</f>
        <v/>
      </c>
      <c r="AN4" s="28">
        <f>INT((MIN(AN$3,60)-1)/12)+1</f>
        <v/>
      </c>
      <c r="AO4" s="28">
        <f>INT((MIN(AO$3,60)-1)/12)+1</f>
        <v/>
      </c>
      <c r="AP4" s="28">
        <f>INT((MIN(AP$3,60)-1)/12)+1</f>
        <v/>
      </c>
      <c r="AQ4" s="28">
        <f>INT((MIN(AQ$3,60)-1)/12)+1</f>
        <v/>
      </c>
      <c r="AR4" s="28">
        <f>INT((MIN(AR$3,60)-1)/12)+1</f>
        <v/>
      </c>
      <c r="AS4" s="28">
        <f>INT((MIN(AS$3,60)-1)/12)+1</f>
        <v/>
      </c>
      <c r="AT4" s="28">
        <f>INT((MIN(AT$3,60)-1)/12)+1</f>
        <v/>
      </c>
      <c r="AU4" s="28">
        <f>INT((MIN(AU$3,60)-1)/12)+1</f>
        <v/>
      </c>
      <c r="AV4" s="28">
        <f>INT((MIN(AV$3,60)-1)/12)+1</f>
        <v/>
      </c>
      <c r="AW4" s="28">
        <f>INT((MIN(AW$3,60)-1)/12)+1</f>
        <v/>
      </c>
      <c r="AX4" s="28">
        <f>INT((MIN(AX$3,60)-1)/12)+1</f>
        <v/>
      </c>
      <c r="AY4" s="28">
        <f>INT((MIN(AY$3,60)-1)/12)+1</f>
        <v/>
      </c>
      <c r="AZ4" s="28">
        <f>INT((MIN(AZ$3,60)-1)/12)+1</f>
        <v/>
      </c>
      <c r="BA4" s="28">
        <f>INT((MIN(BA$3,60)-1)/12)+1</f>
        <v/>
      </c>
      <c r="BB4" s="28">
        <f>INT((MIN(BB$3,60)-1)/12)+1</f>
        <v/>
      </c>
      <c r="BC4" s="28">
        <f>INT((MIN(BC$3,60)-1)/12)+1</f>
        <v/>
      </c>
      <c r="BD4" s="28">
        <f>INT((MIN(BD$3,60)-1)/12)+1</f>
        <v/>
      </c>
      <c r="BE4" s="28">
        <f>INT((MIN(BE$3,60)-1)/12)+1</f>
        <v/>
      </c>
      <c r="BF4" s="28">
        <f>INT((MIN(BF$3,60)-1)/12)+1</f>
        <v/>
      </c>
      <c r="BG4" s="28">
        <f>INT((MIN(BG$3,60)-1)/12)+1</f>
        <v/>
      </c>
      <c r="BH4" s="28">
        <f>INT((MIN(BH$3,60)-1)/12)+1</f>
        <v/>
      </c>
      <c r="BI4" s="28">
        <f>INT((MIN(BI$3,60)-1)/12)+1</f>
        <v/>
      </c>
      <c r="BJ4" s="28">
        <f>INT((MIN(BJ$3,60)-1)/12)+1</f>
        <v/>
      </c>
      <c r="BK4" s="28">
        <f>INT((MIN(BK$3,60)-1)/12)+1</f>
        <v/>
      </c>
      <c r="BL4" s="28">
        <f>INT((MIN(BL$3,60)-1)/12)+1</f>
        <v/>
      </c>
    </row>
    <row r="5">
      <c r="A5" s="9" t="inlineStr">
        <is>
          <t>Factor de erosión de precios</t>
        </is>
      </c>
      <c r="D5" s="34">
        <f>(1-p_erosion)^(D4-1)</f>
        <v/>
      </c>
      <c r="E5" s="34">
        <f>(1-p_erosion)^(E4-1)</f>
        <v/>
      </c>
      <c r="F5" s="34">
        <f>(1-p_erosion)^(F4-1)</f>
        <v/>
      </c>
      <c r="G5" s="34">
        <f>(1-p_erosion)^(G4-1)</f>
        <v/>
      </c>
      <c r="H5" s="34">
        <f>(1-p_erosion)^(H4-1)</f>
        <v/>
      </c>
      <c r="I5" s="34">
        <f>(1-p_erosion)^(I4-1)</f>
        <v/>
      </c>
      <c r="J5" s="34">
        <f>(1-p_erosion)^(J4-1)</f>
        <v/>
      </c>
      <c r="K5" s="34">
        <f>(1-p_erosion)^(K4-1)</f>
        <v/>
      </c>
      <c r="L5" s="34">
        <f>(1-p_erosion)^(L4-1)</f>
        <v/>
      </c>
      <c r="M5" s="34">
        <f>(1-p_erosion)^(M4-1)</f>
        <v/>
      </c>
      <c r="N5" s="34">
        <f>(1-p_erosion)^(N4-1)</f>
        <v/>
      </c>
      <c r="O5" s="34">
        <f>(1-p_erosion)^(O4-1)</f>
        <v/>
      </c>
      <c r="P5" s="34">
        <f>(1-p_erosion)^(P4-1)</f>
        <v/>
      </c>
      <c r="Q5" s="34">
        <f>(1-p_erosion)^(Q4-1)</f>
        <v/>
      </c>
      <c r="R5" s="34">
        <f>(1-p_erosion)^(R4-1)</f>
        <v/>
      </c>
      <c r="S5" s="34">
        <f>(1-p_erosion)^(S4-1)</f>
        <v/>
      </c>
      <c r="T5" s="34">
        <f>(1-p_erosion)^(T4-1)</f>
        <v/>
      </c>
      <c r="U5" s="34">
        <f>(1-p_erosion)^(U4-1)</f>
        <v/>
      </c>
      <c r="V5" s="34">
        <f>(1-p_erosion)^(V4-1)</f>
        <v/>
      </c>
      <c r="W5" s="34">
        <f>(1-p_erosion)^(W4-1)</f>
        <v/>
      </c>
      <c r="X5" s="34">
        <f>(1-p_erosion)^(X4-1)</f>
        <v/>
      </c>
      <c r="Y5" s="34">
        <f>(1-p_erosion)^(Y4-1)</f>
        <v/>
      </c>
      <c r="Z5" s="34">
        <f>(1-p_erosion)^(Z4-1)</f>
        <v/>
      </c>
      <c r="AA5" s="34">
        <f>(1-p_erosion)^(AA4-1)</f>
        <v/>
      </c>
      <c r="AB5" s="34">
        <f>(1-p_erosion)^(AB4-1)</f>
        <v/>
      </c>
      <c r="AC5" s="34">
        <f>(1-p_erosion)^(AC4-1)</f>
        <v/>
      </c>
      <c r="AD5" s="34">
        <f>(1-p_erosion)^(AD4-1)</f>
        <v/>
      </c>
      <c r="AE5" s="34">
        <f>(1-p_erosion)^(AE4-1)</f>
        <v/>
      </c>
      <c r="AF5" s="34">
        <f>(1-p_erosion)^(AF4-1)</f>
        <v/>
      </c>
      <c r="AG5" s="34">
        <f>(1-p_erosion)^(AG4-1)</f>
        <v/>
      </c>
      <c r="AH5" s="34">
        <f>(1-p_erosion)^(AH4-1)</f>
        <v/>
      </c>
      <c r="AI5" s="34">
        <f>(1-p_erosion)^(AI4-1)</f>
        <v/>
      </c>
      <c r="AJ5" s="34">
        <f>(1-p_erosion)^(AJ4-1)</f>
        <v/>
      </c>
      <c r="AK5" s="34">
        <f>(1-p_erosion)^(AK4-1)</f>
        <v/>
      </c>
      <c r="AL5" s="34">
        <f>(1-p_erosion)^(AL4-1)</f>
        <v/>
      </c>
      <c r="AM5" s="34">
        <f>(1-p_erosion)^(AM4-1)</f>
        <v/>
      </c>
      <c r="AN5" s="34">
        <f>(1-p_erosion)^(AN4-1)</f>
        <v/>
      </c>
      <c r="AO5" s="34">
        <f>(1-p_erosion)^(AO4-1)</f>
        <v/>
      </c>
      <c r="AP5" s="34">
        <f>(1-p_erosion)^(AP4-1)</f>
        <v/>
      </c>
      <c r="AQ5" s="34">
        <f>(1-p_erosion)^(AQ4-1)</f>
        <v/>
      </c>
      <c r="AR5" s="34">
        <f>(1-p_erosion)^(AR4-1)</f>
        <v/>
      </c>
      <c r="AS5" s="34">
        <f>(1-p_erosion)^(AS4-1)</f>
        <v/>
      </c>
      <c r="AT5" s="34">
        <f>(1-p_erosion)^(AT4-1)</f>
        <v/>
      </c>
      <c r="AU5" s="34">
        <f>(1-p_erosion)^(AU4-1)</f>
        <v/>
      </c>
      <c r="AV5" s="34">
        <f>(1-p_erosion)^(AV4-1)</f>
        <v/>
      </c>
      <c r="AW5" s="34">
        <f>(1-p_erosion)^(AW4-1)</f>
        <v/>
      </c>
      <c r="AX5" s="34">
        <f>(1-p_erosion)^(AX4-1)</f>
        <v/>
      </c>
      <c r="AY5" s="34">
        <f>(1-p_erosion)^(AY4-1)</f>
        <v/>
      </c>
      <c r="AZ5" s="34">
        <f>(1-p_erosion)^(AZ4-1)</f>
        <v/>
      </c>
      <c r="BA5" s="34">
        <f>(1-p_erosion)^(BA4-1)</f>
        <v/>
      </c>
      <c r="BB5" s="34">
        <f>(1-p_erosion)^(BB4-1)</f>
        <v/>
      </c>
      <c r="BC5" s="34">
        <f>(1-p_erosion)^(BC4-1)</f>
        <v/>
      </c>
      <c r="BD5" s="34">
        <f>(1-p_erosion)^(BD4-1)</f>
        <v/>
      </c>
      <c r="BE5" s="34">
        <f>(1-p_erosion)^(BE4-1)</f>
        <v/>
      </c>
      <c r="BF5" s="34">
        <f>(1-p_erosion)^(BF4-1)</f>
        <v/>
      </c>
      <c r="BG5" s="34">
        <f>(1-p_erosion)^(BG4-1)</f>
        <v/>
      </c>
      <c r="BH5" s="34">
        <f>(1-p_erosion)^(BH4-1)</f>
        <v/>
      </c>
      <c r="BI5" s="34">
        <f>(1-p_erosion)^(BI4-1)</f>
        <v/>
      </c>
      <c r="BJ5" s="34">
        <f>(1-p_erosion)^(BJ4-1)</f>
        <v/>
      </c>
      <c r="BK5" s="34">
        <f>(1-p_erosion)^(BK4-1)</f>
        <v/>
      </c>
      <c r="BL5" s="34">
        <f>(1-p_erosion)^(BL4-1)</f>
        <v/>
      </c>
    </row>
    <row r="6">
      <c r="A6" s="9" t="inlineStr">
        <is>
          <t>Negocio activo (1/0)</t>
        </is>
      </c>
      <c r="D6" s="28">
        <f>IF(D$3&lt;=ROUND(p_stop_det,0),1,0)</f>
        <v/>
      </c>
      <c r="E6" s="28">
        <f>IF(E$3&lt;=ROUND(p_stop_det,0),1,0)</f>
        <v/>
      </c>
      <c r="F6" s="28">
        <f>IF(F$3&lt;=ROUND(p_stop_det,0),1,0)</f>
        <v/>
      </c>
      <c r="G6" s="28">
        <f>IF(G$3&lt;=ROUND(p_stop_det,0),1,0)</f>
        <v/>
      </c>
      <c r="H6" s="28">
        <f>IF(H$3&lt;=ROUND(p_stop_det,0),1,0)</f>
        <v/>
      </c>
      <c r="I6" s="28">
        <f>IF(I$3&lt;=ROUND(p_stop_det,0),1,0)</f>
        <v/>
      </c>
      <c r="J6" s="28">
        <f>IF(J$3&lt;=ROUND(p_stop_det,0),1,0)</f>
        <v/>
      </c>
      <c r="K6" s="28">
        <f>IF(K$3&lt;=ROUND(p_stop_det,0),1,0)</f>
        <v/>
      </c>
      <c r="L6" s="28">
        <f>IF(L$3&lt;=ROUND(p_stop_det,0),1,0)</f>
        <v/>
      </c>
      <c r="M6" s="28">
        <f>IF(M$3&lt;=ROUND(p_stop_det,0),1,0)</f>
        <v/>
      </c>
      <c r="N6" s="28">
        <f>IF(N$3&lt;=ROUND(p_stop_det,0),1,0)</f>
        <v/>
      </c>
      <c r="O6" s="28">
        <f>IF(O$3&lt;=ROUND(p_stop_det,0),1,0)</f>
        <v/>
      </c>
      <c r="P6" s="28">
        <f>IF(P$3&lt;=ROUND(p_stop_det,0),1,0)</f>
        <v/>
      </c>
      <c r="Q6" s="28">
        <f>IF(Q$3&lt;=ROUND(p_stop_det,0),1,0)</f>
        <v/>
      </c>
      <c r="R6" s="28">
        <f>IF(R$3&lt;=ROUND(p_stop_det,0),1,0)</f>
        <v/>
      </c>
      <c r="S6" s="28">
        <f>IF(S$3&lt;=ROUND(p_stop_det,0),1,0)</f>
        <v/>
      </c>
      <c r="T6" s="28">
        <f>IF(T$3&lt;=ROUND(p_stop_det,0),1,0)</f>
        <v/>
      </c>
      <c r="U6" s="28">
        <f>IF(U$3&lt;=ROUND(p_stop_det,0),1,0)</f>
        <v/>
      </c>
      <c r="V6" s="28">
        <f>IF(V$3&lt;=ROUND(p_stop_det,0),1,0)</f>
        <v/>
      </c>
      <c r="W6" s="28">
        <f>IF(W$3&lt;=ROUND(p_stop_det,0),1,0)</f>
        <v/>
      </c>
      <c r="X6" s="28">
        <f>IF(X$3&lt;=ROUND(p_stop_det,0),1,0)</f>
        <v/>
      </c>
      <c r="Y6" s="28">
        <f>IF(Y$3&lt;=ROUND(p_stop_det,0),1,0)</f>
        <v/>
      </c>
      <c r="Z6" s="28">
        <f>IF(Z$3&lt;=ROUND(p_stop_det,0),1,0)</f>
        <v/>
      </c>
      <c r="AA6" s="28">
        <f>IF(AA$3&lt;=ROUND(p_stop_det,0),1,0)</f>
        <v/>
      </c>
      <c r="AB6" s="28">
        <f>IF(AB$3&lt;=ROUND(p_stop_det,0),1,0)</f>
        <v/>
      </c>
      <c r="AC6" s="28">
        <f>IF(AC$3&lt;=ROUND(p_stop_det,0),1,0)</f>
        <v/>
      </c>
      <c r="AD6" s="28">
        <f>IF(AD$3&lt;=ROUND(p_stop_det,0),1,0)</f>
        <v/>
      </c>
      <c r="AE6" s="28">
        <f>IF(AE$3&lt;=ROUND(p_stop_det,0),1,0)</f>
        <v/>
      </c>
      <c r="AF6" s="28">
        <f>IF(AF$3&lt;=ROUND(p_stop_det,0),1,0)</f>
        <v/>
      </c>
      <c r="AG6" s="28">
        <f>IF(AG$3&lt;=ROUND(p_stop_det,0),1,0)</f>
        <v/>
      </c>
      <c r="AH6" s="28">
        <f>IF(AH$3&lt;=ROUND(p_stop_det,0),1,0)</f>
        <v/>
      </c>
      <c r="AI6" s="28">
        <f>IF(AI$3&lt;=ROUND(p_stop_det,0),1,0)</f>
        <v/>
      </c>
      <c r="AJ6" s="28">
        <f>IF(AJ$3&lt;=ROUND(p_stop_det,0),1,0)</f>
        <v/>
      </c>
      <c r="AK6" s="28">
        <f>IF(AK$3&lt;=ROUND(p_stop_det,0),1,0)</f>
        <v/>
      </c>
      <c r="AL6" s="28">
        <f>IF(AL$3&lt;=ROUND(p_stop_det,0),1,0)</f>
        <v/>
      </c>
      <c r="AM6" s="28">
        <f>IF(AM$3&lt;=ROUND(p_stop_det,0),1,0)</f>
        <v/>
      </c>
      <c r="AN6" s="28">
        <f>IF(AN$3&lt;=ROUND(p_stop_det,0),1,0)</f>
        <v/>
      </c>
      <c r="AO6" s="28">
        <f>IF(AO$3&lt;=ROUND(p_stop_det,0),1,0)</f>
        <v/>
      </c>
      <c r="AP6" s="28">
        <f>IF(AP$3&lt;=ROUND(p_stop_det,0),1,0)</f>
        <v/>
      </c>
      <c r="AQ6" s="28">
        <f>IF(AQ$3&lt;=ROUND(p_stop_det,0),1,0)</f>
        <v/>
      </c>
      <c r="AR6" s="28">
        <f>IF(AR$3&lt;=ROUND(p_stop_det,0),1,0)</f>
        <v/>
      </c>
      <c r="AS6" s="28">
        <f>IF(AS$3&lt;=ROUND(p_stop_det,0),1,0)</f>
        <v/>
      </c>
      <c r="AT6" s="28">
        <f>IF(AT$3&lt;=ROUND(p_stop_det,0),1,0)</f>
        <v/>
      </c>
      <c r="AU6" s="28">
        <f>IF(AU$3&lt;=ROUND(p_stop_det,0),1,0)</f>
        <v/>
      </c>
      <c r="AV6" s="28">
        <f>IF(AV$3&lt;=ROUND(p_stop_det,0),1,0)</f>
        <v/>
      </c>
      <c r="AW6" s="28">
        <f>IF(AW$3&lt;=ROUND(p_stop_det,0),1,0)</f>
        <v/>
      </c>
      <c r="AX6" s="28">
        <f>IF(AX$3&lt;=ROUND(p_stop_det,0),1,0)</f>
        <v/>
      </c>
      <c r="AY6" s="28">
        <f>IF(AY$3&lt;=ROUND(p_stop_det,0),1,0)</f>
        <v/>
      </c>
      <c r="AZ6" s="28">
        <f>IF(AZ$3&lt;=ROUND(p_stop_det,0),1,0)</f>
        <v/>
      </c>
      <c r="BA6" s="28">
        <f>IF(BA$3&lt;=ROUND(p_stop_det,0),1,0)</f>
        <v/>
      </c>
      <c r="BB6" s="28">
        <f>IF(BB$3&lt;=ROUND(p_stop_det,0),1,0)</f>
        <v/>
      </c>
      <c r="BC6" s="28">
        <f>IF(BC$3&lt;=ROUND(p_stop_det,0),1,0)</f>
        <v/>
      </c>
      <c r="BD6" s="28">
        <f>IF(BD$3&lt;=ROUND(p_stop_det,0),1,0)</f>
        <v/>
      </c>
      <c r="BE6" s="28">
        <f>IF(BE$3&lt;=ROUND(p_stop_det,0),1,0)</f>
        <v/>
      </c>
      <c r="BF6" s="28">
        <f>IF(BF$3&lt;=ROUND(p_stop_det,0),1,0)</f>
        <v/>
      </c>
      <c r="BG6" s="28">
        <f>IF(BG$3&lt;=ROUND(p_stop_det,0),1,0)</f>
        <v/>
      </c>
      <c r="BH6" s="28">
        <f>IF(BH$3&lt;=ROUND(p_stop_det,0),1,0)</f>
        <v/>
      </c>
      <c r="BI6" s="28">
        <f>IF(BI$3&lt;=ROUND(p_stop_det,0),1,0)</f>
        <v/>
      </c>
      <c r="BJ6" s="28">
        <f>IF(BJ$3&lt;=ROUND(p_stop_det,0),1,0)</f>
        <v/>
      </c>
      <c r="BK6" s="28">
        <f>IF(BK$3&lt;=ROUND(p_stop_det,0),1,0)</f>
        <v/>
      </c>
      <c r="BL6" s="28">
        <f>IF(BL$3&lt;=ROUND(p_stop_det,0),1,0)</f>
        <v/>
      </c>
    </row>
    <row r="7">
      <c r="A7" s="9" t="inlineStr">
        <is>
          <t>Rampa primera ola</t>
        </is>
      </c>
      <c r="D7" s="18">
        <f>MAX(0,MIN(1,(D$3-c_first_dec+1)/p_ramp_m))</f>
        <v/>
      </c>
      <c r="E7" s="18">
        <f>MAX(0,MIN(1,(E$3-c_first_dec+1)/p_ramp_m))</f>
        <v/>
      </c>
      <c r="F7" s="18">
        <f>MAX(0,MIN(1,(F$3-c_first_dec+1)/p_ramp_m))</f>
        <v/>
      </c>
      <c r="G7" s="18">
        <f>MAX(0,MIN(1,(G$3-c_first_dec+1)/p_ramp_m))</f>
        <v/>
      </c>
      <c r="H7" s="18">
        <f>MAX(0,MIN(1,(H$3-c_first_dec+1)/p_ramp_m))</f>
        <v/>
      </c>
      <c r="I7" s="18">
        <f>MAX(0,MIN(1,(I$3-c_first_dec+1)/p_ramp_m))</f>
        <v/>
      </c>
      <c r="J7" s="18">
        <f>MAX(0,MIN(1,(J$3-c_first_dec+1)/p_ramp_m))</f>
        <v/>
      </c>
      <c r="K7" s="18">
        <f>MAX(0,MIN(1,(K$3-c_first_dec+1)/p_ramp_m))</f>
        <v/>
      </c>
      <c r="L7" s="18">
        <f>MAX(0,MIN(1,(L$3-c_first_dec+1)/p_ramp_m))</f>
        <v/>
      </c>
      <c r="M7" s="18">
        <f>MAX(0,MIN(1,(M$3-c_first_dec+1)/p_ramp_m))</f>
        <v/>
      </c>
      <c r="N7" s="18">
        <f>MAX(0,MIN(1,(N$3-c_first_dec+1)/p_ramp_m))</f>
        <v/>
      </c>
      <c r="O7" s="18">
        <f>MAX(0,MIN(1,(O$3-c_first_dec+1)/p_ramp_m))</f>
        <v/>
      </c>
      <c r="P7" s="18">
        <f>MAX(0,MIN(1,(P$3-c_first_dec+1)/p_ramp_m))</f>
        <v/>
      </c>
      <c r="Q7" s="18">
        <f>MAX(0,MIN(1,(Q$3-c_first_dec+1)/p_ramp_m))</f>
        <v/>
      </c>
      <c r="R7" s="18">
        <f>MAX(0,MIN(1,(R$3-c_first_dec+1)/p_ramp_m))</f>
        <v/>
      </c>
      <c r="S7" s="18">
        <f>MAX(0,MIN(1,(S$3-c_first_dec+1)/p_ramp_m))</f>
        <v/>
      </c>
      <c r="T7" s="18">
        <f>MAX(0,MIN(1,(T$3-c_first_dec+1)/p_ramp_m))</f>
        <v/>
      </c>
      <c r="U7" s="18">
        <f>MAX(0,MIN(1,(U$3-c_first_dec+1)/p_ramp_m))</f>
        <v/>
      </c>
      <c r="V7" s="18">
        <f>MAX(0,MIN(1,(V$3-c_first_dec+1)/p_ramp_m))</f>
        <v/>
      </c>
      <c r="W7" s="18">
        <f>MAX(0,MIN(1,(W$3-c_first_dec+1)/p_ramp_m))</f>
        <v/>
      </c>
      <c r="X7" s="18">
        <f>MAX(0,MIN(1,(X$3-c_first_dec+1)/p_ramp_m))</f>
        <v/>
      </c>
      <c r="Y7" s="18">
        <f>MAX(0,MIN(1,(Y$3-c_first_dec+1)/p_ramp_m))</f>
        <v/>
      </c>
      <c r="Z7" s="18">
        <f>MAX(0,MIN(1,(Z$3-c_first_dec+1)/p_ramp_m))</f>
        <v/>
      </c>
      <c r="AA7" s="18">
        <f>MAX(0,MIN(1,(AA$3-c_first_dec+1)/p_ramp_m))</f>
        <v/>
      </c>
      <c r="AB7" s="18">
        <f>MAX(0,MIN(1,(AB$3-c_first_dec+1)/p_ramp_m))</f>
        <v/>
      </c>
      <c r="AC7" s="18">
        <f>MAX(0,MIN(1,(AC$3-c_first_dec+1)/p_ramp_m))</f>
        <v/>
      </c>
      <c r="AD7" s="18">
        <f>MAX(0,MIN(1,(AD$3-c_first_dec+1)/p_ramp_m))</f>
        <v/>
      </c>
      <c r="AE7" s="18">
        <f>MAX(0,MIN(1,(AE$3-c_first_dec+1)/p_ramp_m))</f>
        <v/>
      </c>
      <c r="AF7" s="18">
        <f>MAX(0,MIN(1,(AF$3-c_first_dec+1)/p_ramp_m))</f>
        <v/>
      </c>
      <c r="AG7" s="18">
        <f>MAX(0,MIN(1,(AG$3-c_first_dec+1)/p_ramp_m))</f>
        <v/>
      </c>
      <c r="AH7" s="18">
        <f>MAX(0,MIN(1,(AH$3-c_first_dec+1)/p_ramp_m))</f>
        <v/>
      </c>
      <c r="AI7" s="18">
        <f>MAX(0,MIN(1,(AI$3-c_first_dec+1)/p_ramp_m))</f>
        <v/>
      </c>
      <c r="AJ7" s="18">
        <f>MAX(0,MIN(1,(AJ$3-c_first_dec+1)/p_ramp_m))</f>
        <v/>
      </c>
      <c r="AK7" s="18">
        <f>MAX(0,MIN(1,(AK$3-c_first_dec+1)/p_ramp_m))</f>
        <v/>
      </c>
      <c r="AL7" s="18">
        <f>MAX(0,MIN(1,(AL$3-c_first_dec+1)/p_ramp_m))</f>
        <v/>
      </c>
      <c r="AM7" s="18">
        <f>MAX(0,MIN(1,(AM$3-c_first_dec+1)/p_ramp_m))</f>
        <v/>
      </c>
      <c r="AN7" s="18">
        <f>MAX(0,MIN(1,(AN$3-c_first_dec+1)/p_ramp_m))</f>
        <v/>
      </c>
      <c r="AO7" s="18">
        <f>MAX(0,MIN(1,(AO$3-c_first_dec+1)/p_ramp_m))</f>
        <v/>
      </c>
      <c r="AP7" s="18">
        <f>MAX(0,MIN(1,(AP$3-c_first_dec+1)/p_ramp_m))</f>
        <v/>
      </c>
      <c r="AQ7" s="18">
        <f>MAX(0,MIN(1,(AQ$3-c_first_dec+1)/p_ramp_m))</f>
        <v/>
      </c>
      <c r="AR7" s="18">
        <f>MAX(0,MIN(1,(AR$3-c_first_dec+1)/p_ramp_m))</f>
        <v/>
      </c>
      <c r="AS7" s="18">
        <f>MAX(0,MIN(1,(AS$3-c_first_dec+1)/p_ramp_m))</f>
        <v/>
      </c>
      <c r="AT7" s="18">
        <f>MAX(0,MIN(1,(AT$3-c_first_dec+1)/p_ramp_m))</f>
        <v/>
      </c>
      <c r="AU7" s="18">
        <f>MAX(0,MIN(1,(AU$3-c_first_dec+1)/p_ramp_m))</f>
        <v/>
      </c>
      <c r="AV7" s="18">
        <f>MAX(0,MIN(1,(AV$3-c_first_dec+1)/p_ramp_m))</f>
        <v/>
      </c>
      <c r="AW7" s="18">
        <f>MAX(0,MIN(1,(AW$3-c_first_dec+1)/p_ramp_m))</f>
        <v/>
      </c>
      <c r="AX7" s="18">
        <f>MAX(0,MIN(1,(AX$3-c_first_dec+1)/p_ramp_m))</f>
        <v/>
      </c>
      <c r="AY7" s="18">
        <f>MAX(0,MIN(1,(AY$3-c_first_dec+1)/p_ramp_m))</f>
        <v/>
      </c>
      <c r="AZ7" s="18">
        <f>MAX(0,MIN(1,(AZ$3-c_first_dec+1)/p_ramp_m))</f>
        <v/>
      </c>
      <c r="BA7" s="18">
        <f>MAX(0,MIN(1,(BA$3-c_first_dec+1)/p_ramp_m))</f>
        <v/>
      </c>
      <c r="BB7" s="18">
        <f>MAX(0,MIN(1,(BB$3-c_first_dec+1)/p_ramp_m))</f>
        <v/>
      </c>
      <c r="BC7" s="18">
        <f>MAX(0,MIN(1,(BC$3-c_first_dec+1)/p_ramp_m))</f>
        <v/>
      </c>
      <c r="BD7" s="18">
        <f>MAX(0,MIN(1,(BD$3-c_first_dec+1)/p_ramp_m))</f>
        <v/>
      </c>
      <c r="BE7" s="18">
        <f>MAX(0,MIN(1,(BE$3-c_first_dec+1)/p_ramp_m))</f>
        <v/>
      </c>
      <c r="BF7" s="18">
        <f>MAX(0,MIN(1,(BF$3-c_first_dec+1)/p_ramp_m))</f>
        <v/>
      </c>
      <c r="BG7" s="18">
        <f>MAX(0,MIN(1,(BG$3-c_first_dec+1)/p_ramp_m))</f>
        <v/>
      </c>
      <c r="BH7" s="18">
        <f>MAX(0,MIN(1,(BH$3-c_first_dec+1)/p_ramp_m))</f>
        <v/>
      </c>
      <c r="BI7" s="18">
        <f>MAX(0,MIN(1,(BI$3-c_first_dec+1)/p_ramp_m))</f>
        <v/>
      </c>
      <c r="BJ7" s="18">
        <f>MAX(0,MIN(1,(BJ$3-c_first_dec+1)/p_ramp_m))</f>
        <v/>
      </c>
      <c r="BK7" s="18">
        <f>MAX(0,MIN(1,(BK$3-c_first_dec+1)/p_ramp_m))</f>
        <v/>
      </c>
      <c r="BL7" s="18">
        <f>MAX(0,MIN(1,(BL$3-c_first_dec+1)/p_ramp_m))</f>
        <v/>
      </c>
    </row>
    <row r="8">
      <c r="A8" s="9" t="inlineStr">
        <is>
          <t>Rampa segunda ola</t>
        </is>
      </c>
      <c r="D8" s="18">
        <f>MAX(0,MIN(1,(D$3-c_first_dec2+1)/p_ramp_m))</f>
        <v/>
      </c>
      <c r="E8" s="18">
        <f>MAX(0,MIN(1,(E$3-c_first_dec2+1)/p_ramp_m))</f>
        <v/>
      </c>
      <c r="F8" s="18">
        <f>MAX(0,MIN(1,(F$3-c_first_dec2+1)/p_ramp_m))</f>
        <v/>
      </c>
      <c r="G8" s="18">
        <f>MAX(0,MIN(1,(G$3-c_first_dec2+1)/p_ramp_m))</f>
        <v/>
      </c>
      <c r="H8" s="18">
        <f>MAX(0,MIN(1,(H$3-c_first_dec2+1)/p_ramp_m))</f>
        <v/>
      </c>
      <c r="I8" s="18">
        <f>MAX(0,MIN(1,(I$3-c_first_dec2+1)/p_ramp_m))</f>
        <v/>
      </c>
      <c r="J8" s="18">
        <f>MAX(0,MIN(1,(J$3-c_first_dec2+1)/p_ramp_m))</f>
        <v/>
      </c>
      <c r="K8" s="18">
        <f>MAX(0,MIN(1,(K$3-c_first_dec2+1)/p_ramp_m))</f>
        <v/>
      </c>
      <c r="L8" s="18">
        <f>MAX(0,MIN(1,(L$3-c_first_dec2+1)/p_ramp_m))</f>
        <v/>
      </c>
      <c r="M8" s="18">
        <f>MAX(0,MIN(1,(M$3-c_first_dec2+1)/p_ramp_m))</f>
        <v/>
      </c>
      <c r="N8" s="18">
        <f>MAX(0,MIN(1,(N$3-c_first_dec2+1)/p_ramp_m))</f>
        <v/>
      </c>
      <c r="O8" s="18">
        <f>MAX(0,MIN(1,(O$3-c_first_dec2+1)/p_ramp_m))</f>
        <v/>
      </c>
      <c r="P8" s="18">
        <f>MAX(0,MIN(1,(P$3-c_first_dec2+1)/p_ramp_m))</f>
        <v/>
      </c>
      <c r="Q8" s="18">
        <f>MAX(0,MIN(1,(Q$3-c_first_dec2+1)/p_ramp_m))</f>
        <v/>
      </c>
      <c r="R8" s="18">
        <f>MAX(0,MIN(1,(R$3-c_first_dec2+1)/p_ramp_m))</f>
        <v/>
      </c>
      <c r="S8" s="18">
        <f>MAX(0,MIN(1,(S$3-c_first_dec2+1)/p_ramp_m))</f>
        <v/>
      </c>
      <c r="T8" s="18">
        <f>MAX(0,MIN(1,(T$3-c_first_dec2+1)/p_ramp_m))</f>
        <v/>
      </c>
      <c r="U8" s="18">
        <f>MAX(0,MIN(1,(U$3-c_first_dec2+1)/p_ramp_m))</f>
        <v/>
      </c>
      <c r="V8" s="18">
        <f>MAX(0,MIN(1,(V$3-c_first_dec2+1)/p_ramp_m))</f>
        <v/>
      </c>
      <c r="W8" s="18">
        <f>MAX(0,MIN(1,(W$3-c_first_dec2+1)/p_ramp_m))</f>
        <v/>
      </c>
      <c r="X8" s="18">
        <f>MAX(0,MIN(1,(X$3-c_first_dec2+1)/p_ramp_m))</f>
        <v/>
      </c>
      <c r="Y8" s="18">
        <f>MAX(0,MIN(1,(Y$3-c_first_dec2+1)/p_ramp_m))</f>
        <v/>
      </c>
      <c r="Z8" s="18">
        <f>MAX(0,MIN(1,(Z$3-c_first_dec2+1)/p_ramp_m))</f>
        <v/>
      </c>
      <c r="AA8" s="18">
        <f>MAX(0,MIN(1,(AA$3-c_first_dec2+1)/p_ramp_m))</f>
        <v/>
      </c>
      <c r="AB8" s="18">
        <f>MAX(0,MIN(1,(AB$3-c_first_dec2+1)/p_ramp_m))</f>
        <v/>
      </c>
      <c r="AC8" s="18">
        <f>MAX(0,MIN(1,(AC$3-c_first_dec2+1)/p_ramp_m))</f>
        <v/>
      </c>
      <c r="AD8" s="18">
        <f>MAX(0,MIN(1,(AD$3-c_first_dec2+1)/p_ramp_m))</f>
        <v/>
      </c>
      <c r="AE8" s="18">
        <f>MAX(0,MIN(1,(AE$3-c_first_dec2+1)/p_ramp_m))</f>
        <v/>
      </c>
      <c r="AF8" s="18">
        <f>MAX(0,MIN(1,(AF$3-c_first_dec2+1)/p_ramp_m))</f>
        <v/>
      </c>
      <c r="AG8" s="18">
        <f>MAX(0,MIN(1,(AG$3-c_first_dec2+1)/p_ramp_m))</f>
        <v/>
      </c>
      <c r="AH8" s="18">
        <f>MAX(0,MIN(1,(AH$3-c_first_dec2+1)/p_ramp_m))</f>
        <v/>
      </c>
      <c r="AI8" s="18">
        <f>MAX(0,MIN(1,(AI$3-c_first_dec2+1)/p_ramp_m))</f>
        <v/>
      </c>
      <c r="AJ8" s="18">
        <f>MAX(0,MIN(1,(AJ$3-c_first_dec2+1)/p_ramp_m))</f>
        <v/>
      </c>
      <c r="AK8" s="18">
        <f>MAX(0,MIN(1,(AK$3-c_first_dec2+1)/p_ramp_m))</f>
        <v/>
      </c>
      <c r="AL8" s="18">
        <f>MAX(0,MIN(1,(AL$3-c_first_dec2+1)/p_ramp_m))</f>
        <v/>
      </c>
      <c r="AM8" s="18">
        <f>MAX(0,MIN(1,(AM$3-c_first_dec2+1)/p_ramp_m))</f>
        <v/>
      </c>
      <c r="AN8" s="18">
        <f>MAX(0,MIN(1,(AN$3-c_first_dec2+1)/p_ramp_m))</f>
        <v/>
      </c>
      <c r="AO8" s="18">
        <f>MAX(0,MIN(1,(AO$3-c_first_dec2+1)/p_ramp_m))</f>
        <v/>
      </c>
      <c r="AP8" s="18">
        <f>MAX(0,MIN(1,(AP$3-c_first_dec2+1)/p_ramp_m))</f>
        <v/>
      </c>
      <c r="AQ8" s="18">
        <f>MAX(0,MIN(1,(AQ$3-c_first_dec2+1)/p_ramp_m))</f>
        <v/>
      </c>
      <c r="AR8" s="18">
        <f>MAX(0,MIN(1,(AR$3-c_first_dec2+1)/p_ramp_m))</f>
        <v/>
      </c>
      <c r="AS8" s="18">
        <f>MAX(0,MIN(1,(AS$3-c_first_dec2+1)/p_ramp_m))</f>
        <v/>
      </c>
      <c r="AT8" s="18">
        <f>MAX(0,MIN(1,(AT$3-c_first_dec2+1)/p_ramp_m))</f>
        <v/>
      </c>
      <c r="AU8" s="18">
        <f>MAX(0,MIN(1,(AU$3-c_first_dec2+1)/p_ramp_m))</f>
        <v/>
      </c>
      <c r="AV8" s="18">
        <f>MAX(0,MIN(1,(AV$3-c_first_dec2+1)/p_ramp_m))</f>
        <v/>
      </c>
      <c r="AW8" s="18">
        <f>MAX(0,MIN(1,(AW$3-c_first_dec2+1)/p_ramp_m))</f>
        <v/>
      </c>
      <c r="AX8" s="18">
        <f>MAX(0,MIN(1,(AX$3-c_first_dec2+1)/p_ramp_m))</f>
        <v/>
      </c>
      <c r="AY8" s="18">
        <f>MAX(0,MIN(1,(AY$3-c_first_dec2+1)/p_ramp_m))</f>
        <v/>
      </c>
      <c r="AZ8" s="18">
        <f>MAX(0,MIN(1,(AZ$3-c_first_dec2+1)/p_ramp_m))</f>
        <v/>
      </c>
      <c r="BA8" s="18">
        <f>MAX(0,MIN(1,(BA$3-c_first_dec2+1)/p_ramp_m))</f>
        <v/>
      </c>
      <c r="BB8" s="18">
        <f>MAX(0,MIN(1,(BB$3-c_first_dec2+1)/p_ramp_m))</f>
        <v/>
      </c>
      <c r="BC8" s="18">
        <f>MAX(0,MIN(1,(BC$3-c_first_dec2+1)/p_ramp_m))</f>
        <v/>
      </c>
      <c r="BD8" s="18">
        <f>MAX(0,MIN(1,(BD$3-c_first_dec2+1)/p_ramp_m))</f>
        <v/>
      </c>
      <c r="BE8" s="18">
        <f>MAX(0,MIN(1,(BE$3-c_first_dec2+1)/p_ramp_m))</f>
        <v/>
      </c>
      <c r="BF8" s="18">
        <f>MAX(0,MIN(1,(BF$3-c_first_dec2+1)/p_ramp_m))</f>
        <v/>
      </c>
      <c r="BG8" s="18">
        <f>MAX(0,MIN(1,(BG$3-c_first_dec2+1)/p_ramp_m))</f>
        <v/>
      </c>
      <c r="BH8" s="18">
        <f>MAX(0,MIN(1,(BH$3-c_first_dec2+1)/p_ramp_m))</f>
        <v/>
      </c>
      <c r="BI8" s="18">
        <f>MAX(0,MIN(1,(BI$3-c_first_dec2+1)/p_ramp_m))</f>
        <v/>
      </c>
      <c r="BJ8" s="18">
        <f>MAX(0,MIN(1,(BJ$3-c_first_dec2+1)/p_ramp_m))</f>
        <v/>
      </c>
      <c r="BK8" s="18">
        <f>MAX(0,MIN(1,(BK$3-c_first_dec2+1)/p_ramp_m))</f>
        <v/>
      </c>
      <c r="BL8" s="18">
        <f>MAX(0,MIN(1,(BL$3-c_first_dec2+1)/p_ramp_m))</f>
        <v/>
      </c>
    </row>
    <row r="9">
      <c r="A9" s="9" t="inlineStr">
        <is>
          <t>Contratos centralizados activos</t>
        </is>
      </c>
      <c r="D9" s="28">
        <f>IF(D$3&gt;=c_cen_start,1,0)</f>
        <v/>
      </c>
      <c r="E9" s="28">
        <f>IF(E$3&gt;=c_cen_start,1,0)</f>
        <v/>
      </c>
      <c r="F9" s="28">
        <f>IF(F$3&gt;=c_cen_start,1,0)</f>
        <v/>
      </c>
      <c r="G9" s="28">
        <f>IF(G$3&gt;=c_cen_start,1,0)</f>
        <v/>
      </c>
      <c r="H9" s="28">
        <f>IF(H$3&gt;=c_cen_start,1,0)</f>
        <v/>
      </c>
      <c r="I9" s="28">
        <f>IF(I$3&gt;=c_cen_start,1,0)</f>
        <v/>
      </c>
      <c r="J9" s="28">
        <f>IF(J$3&gt;=c_cen_start,1,0)</f>
        <v/>
      </c>
      <c r="K9" s="28">
        <f>IF(K$3&gt;=c_cen_start,1,0)</f>
        <v/>
      </c>
      <c r="L9" s="28">
        <f>IF(L$3&gt;=c_cen_start,1,0)</f>
        <v/>
      </c>
      <c r="M9" s="28">
        <f>IF(M$3&gt;=c_cen_start,1,0)</f>
        <v/>
      </c>
      <c r="N9" s="28">
        <f>IF(N$3&gt;=c_cen_start,1,0)</f>
        <v/>
      </c>
      <c r="O9" s="28">
        <f>IF(O$3&gt;=c_cen_start,1,0)</f>
        <v/>
      </c>
      <c r="P9" s="28">
        <f>IF(P$3&gt;=c_cen_start,1,0)</f>
        <v/>
      </c>
      <c r="Q9" s="28">
        <f>IF(Q$3&gt;=c_cen_start,1,0)</f>
        <v/>
      </c>
      <c r="R9" s="28">
        <f>IF(R$3&gt;=c_cen_start,1,0)</f>
        <v/>
      </c>
      <c r="S9" s="28">
        <f>IF(S$3&gt;=c_cen_start,1,0)</f>
        <v/>
      </c>
      <c r="T9" s="28">
        <f>IF(T$3&gt;=c_cen_start,1,0)</f>
        <v/>
      </c>
      <c r="U9" s="28">
        <f>IF(U$3&gt;=c_cen_start,1,0)</f>
        <v/>
      </c>
      <c r="V9" s="28">
        <f>IF(V$3&gt;=c_cen_start,1,0)</f>
        <v/>
      </c>
      <c r="W9" s="28">
        <f>IF(W$3&gt;=c_cen_start,1,0)</f>
        <v/>
      </c>
      <c r="X9" s="28">
        <f>IF(X$3&gt;=c_cen_start,1,0)</f>
        <v/>
      </c>
      <c r="Y9" s="28">
        <f>IF(Y$3&gt;=c_cen_start,1,0)</f>
        <v/>
      </c>
      <c r="Z9" s="28">
        <f>IF(Z$3&gt;=c_cen_start,1,0)</f>
        <v/>
      </c>
      <c r="AA9" s="28">
        <f>IF(AA$3&gt;=c_cen_start,1,0)</f>
        <v/>
      </c>
      <c r="AB9" s="28">
        <f>IF(AB$3&gt;=c_cen_start,1,0)</f>
        <v/>
      </c>
      <c r="AC9" s="28">
        <f>IF(AC$3&gt;=c_cen_start,1,0)</f>
        <v/>
      </c>
      <c r="AD9" s="28">
        <f>IF(AD$3&gt;=c_cen_start,1,0)</f>
        <v/>
      </c>
      <c r="AE9" s="28">
        <f>IF(AE$3&gt;=c_cen_start,1,0)</f>
        <v/>
      </c>
      <c r="AF9" s="28">
        <f>IF(AF$3&gt;=c_cen_start,1,0)</f>
        <v/>
      </c>
      <c r="AG9" s="28">
        <f>IF(AG$3&gt;=c_cen_start,1,0)</f>
        <v/>
      </c>
      <c r="AH9" s="28">
        <f>IF(AH$3&gt;=c_cen_start,1,0)</f>
        <v/>
      </c>
      <c r="AI9" s="28">
        <f>IF(AI$3&gt;=c_cen_start,1,0)</f>
        <v/>
      </c>
      <c r="AJ9" s="28">
        <f>IF(AJ$3&gt;=c_cen_start,1,0)</f>
        <v/>
      </c>
      <c r="AK9" s="28">
        <f>IF(AK$3&gt;=c_cen_start,1,0)</f>
        <v/>
      </c>
      <c r="AL9" s="28">
        <f>IF(AL$3&gt;=c_cen_start,1,0)</f>
        <v/>
      </c>
      <c r="AM9" s="28">
        <f>IF(AM$3&gt;=c_cen_start,1,0)</f>
        <v/>
      </c>
      <c r="AN9" s="28">
        <f>IF(AN$3&gt;=c_cen_start,1,0)</f>
        <v/>
      </c>
      <c r="AO9" s="28">
        <f>IF(AO$3&gt;=c_cen_start,1,0)</f>
        <v/>
      </c>
      <c r="AP9" s="28">
        <f>IF(AP$3&gt;=c_cen_start,1,0)</f>
        <v/>
      </c>
      <c r="AQ9" s="28">
        <f>IF(AQ$3&gt;=c_cen_start,1,0)</f>
        <v/>
      </c>
      <c r="AR9" s="28">
        <f>IF(AR$3&gt;=c_cen_start,1,0)</f>
        <v/>
      </c>
      <c r="AS9" s="28">
        <f>IF(AS$3&gt;=c_cen_start,1,0)</f>
        <v/>
      </c>
      <c r="AT9" s="28">
        <f>IF(AT$3&gt;=c_cen_start,1,0)</f>
        <v/>
      </c>
      <c r="AU9" s="28">
        <f>IF(AU$3&gt;=c_cen_start,1,0)</f>
        <v/>
      </c>
      <c r="AV9" s="28">
        <f>IF(AV$3&gt;=c_cen_start,1,0)</f>
        <v/>
      </c>
      <c r="AW9" s="28">
        <f>IF(AW$3&gt;=c_cen_start,1,0)</f>
        <v/>
      </c>
      <c r="AX9" s="28">
        <f>IF(AX$3&gt;=c_cen_start,1,0)</f>
        <v/>
      </c>
      <c r="AY9" s="28">
        <f>IF(AY$3&gt;=c_cen_start,1,0)</f>
        <v/>
      </c>
      <c r="AZ9" s="28">
        <f>IF(AZ$3&gt;=c_cen_start,1,0)</f>
        <v/>
      </c>
      <c r="BA9" s="28">
        <f>IF(BA$3&gt;=c_cen_start,1,0)</f>
        <v/>
      </c>
      <c r="BB9" s="28">
        <f>IF(BB$3&gt;=c_cen_start,1,0)</f>
        <v/>
      </c>
      <c r="BC9" s="28">
        <f>IF(BC$3&gt;=c_cen_start,1,0)</f>
        <v/>
      </c>
      <c r="BD9" s="28">
        <f>IF(BD$3&gt;=c_cen_start,1,0)</f>
        <v/>
      </c>
      <c r="BE9" s="28">
        <f>IF(BE$3&gt;=c_cen_start,1,0)</f>
        <v/>
      </c>
      <c r="BF9" s="28">
        <f>IF(BF$3&gt;=c_cen_start,1,0)</f>
        <v/>
      </c>
      <c r="BG9" s="28">
        <f>IF(BG$3&gt;=c_cen_start,1,0)</f>
        <v/>
      </c>
      <c r="BH9" s="28">
        <f>IF(BH$3&gt;=c_cen_start,1,0)</f>
        <v/>
      </c>
      <c r="BI9" s="28">
        <f>IF(BI$3&gt;=c_cen_start,1,0)</f>
        <v/>
      </c>
      <c r="BJ9" s="28">
        <f>IF(BJ$3&gt;=c_cen_start,1,0)</f>
        <v/>
      </c>
      <c r="BK9" s="28">
        <f>IF(BK$3&gt;=c_cen_start,1,0)</f>
        <v/>
      </c>
      <c r="BL9" s="28">
        <f>IF(BL$3&gt;=c_cen_start,1,0)</f>
        <v/>
      </c>
    </row>
    <row r="10">
      <c r="A10" s="9" t="inlineStr">
        <is>
          <t>LPU con segunda ola</t>
        </is>
      </c>
      <c r="D10" s="28">
        <f>IF(D$3&gt;=c_c2_lpu,1,0)</f>
        <v/>
      </c>
      <c r="E10" s="28">
        <f>IF(E$3&gt;=c_c2_lpu,1,0)</f>
        <v/>
      </c>
      <c r="F10" s="28">
        <f>IF(F$3&gt;=c_c2_lpu,1,0)</f>
        <v/>
      </c>
      <c r="G10" s="28">
        <f>IF(G$3&gt;=c_c2_lpu,1,0)</f>
        <v/>
      </c>
      <c r="H10" s="28">
        <f>IF(H$3&gt;=c_c2_lpu,1,0)</f>
        <v/>
      </c>
      <c r="I10" s="28">
        <f>IF(I$3&gt;=c_c2_lpu,1,0)</f>
        <v/>
      </c>
      <c r="J10" s="28">
        <f>IF(J$3&gt;=c_c2_lpu,1,0)</f>
        <v/>
      </c>
      <c r="K10" s="28">
        <f>IF(K$3&gt;=c_c2_lpu,1,0)</f>
        <v/>
      </c>
      <c r="L10" s="28">
        <f>IF(L$3&gt;=c_c2_lpu,1,0)</f>
        <v/>
      </c>
      <c r="M10" s="28">
        <f>IF(M$3&gt;=c_c2_lpu,1,0)</f>
        <v/>
      </c>
      <c r="N10" s="28">
        <f>IF(N$3&gt;=c_c2_lpu,1,0)</f>
        <v/>
      </c>
      <c r="O10" s="28">
        <f>IF(O$3&gt;=c_c2_lpu,1,0)</f>
        <v/>
      </c>
      <c r="P10" s="28">
        <f>IF(P$3&gt;=c_c2_lpu,1,0)</f>
        <v/>
      </c>
      <c r="Q10" s="28">
        <f>IF(Q$3&gt;=c_c2_lpu,1,0)</f>
        <v/>
      </c>
      <c r="R10" s="28">
        <f>IF(R$3&gt;=c_c2_lpu,1,0)</f>
        <v/>
      </c>
      <c r="S10" s="28">
        <f>IF(S$3&gt;=c_c2_lpu,1,0)</f>
        <v/>
      </c>
      <c r="T10" s="28">
        <f>IF(T$3&gt;=c_c2_lpu,1,0)</f>
        <v/>
      </c>
      <c r="U10" s="28">
        <f>IF(U$3&gt;=c_c2_lpu,1,0)</f>
        <v/>
      </c>
      <c r="V10" s="28">
        <f>IF(V$3&gt;=c_c2_lpu,1,0)</f>
        <v/>
      </c>
      <c r="W10" s="28">
        <f>IF(W$3&gt;=c_c2_lpu,1,0)</f>
        <v/>
      </c>
      <c r="X10" s="28">
        <f>IF(X$3&gt;=c_c2_lpu,1,0)</f>
        <v/>
      </c>
      <c r="Y10" s="28">
        <f>IF(Y$3&gt;=c_c2_lpu,1,0)</f>
        <v/>
      </c>
      <c r="Z10" s="28">
        <f>IF(Z$3&gt;=c_c2_lpu,1,0)</f>
        <v/>
      </c>
      <c r="AA10" s="28">
        <f>IF(AA$3&gt;=c_c2_lpu,1,0)</f>
        <v/>
      </c>
      <c r="AB10" s="28">
        <f>IF(AB$3&gt;=c_c2_lpu,1,0)</f>
        <v/>
      </c>
      <c r="AC10" s="28">
        <f>IF(AC$3&gt;=c_c2_lpu,1,0)</f>
        <v/>
      </c>
      <c r="AD10" s="28">
        <f>IF(AD$3&gt;=c_c2_lpu,1,0)</f>
        <v/>
      </c>
      <c r="AE10" s="28">
        <f>IF(AE$3&gt;=c_c2_lpu,1,0)</f>
        <v/>
      </c>
      <c r="AF10" s="28">
        <f>IF(AF$3&gt;=c_c2_lpu,1,0)</f>
        <v/>
      </c>
      <c r="AG10" s="28">
        <f>IF(AG$3&gt;=c_c2_lpu,1,0)</f>
        <v/>
      </c>
      <c r="AH10" s="28">
        <f>IF(AH$3&gt;=c_c2_lpu,1,0)</f>
        <v/>
      </c>
      <c r="AI10" s="28">
        <f>IF(AI$3&gt;=c_c2_lpu,1,0)</f>
        <v/>
      </c>
      <c r="AJ10" s="28">
        <f>IF(AJ$3&gt;=c_c2_lpu,1,0)</f>
        <v/>
      </c>
      <c r="AK10" s="28">
        <f>IF(AK$3&gt;=c_c2_lpu,1,0)</f>
        <v/>
      </c>
      <c r="AL10" s="28">
        <f>IF(AL$3&gt;=c_c2_lpu,1,0)</f>
        <v/>
      </c>
      <c r="AM10" s="28">
        <f>IF(AM$3&gt;=c_c2_lpu,1,0)</f>
        <v/>
      </c>
      <c r="AN10" s="28">
        <f>IF(AN$3&gt;=c_c2_lpu,1,0)</f>
        <v/>
      </c>
      <c r="AO10" s="28">
        <f>IF(AO$3&gt;=c_c2_lpu,1,0)</f>
        <v/>
      </c>
      <c r="AP10" s="28">
        <f>IF(AP$3&gt;=c_c2_lpu,1,0)</f>
        <v/>
      </c>
      <c r="AQ10" s="28">
        <f>IF(AQ$3&gt;=c_c2_lpu,1,0)</f>
        <v/>
      </c>
      <c r="AR10" s="28">
        <f>IF(AR$3&gt;=c_c2_lpu,1,0)</f>
        <v/>
      </c>
      <c r="AS10" s="28">
        <f>IF(AS$3&gt;=c_c2_lpu,1,0)</f>
        <v/>
      </c>
      <c r="AT10" s="28">
        <f>IF(AT$3&gt;=c_c2_lpu,1,0)</f>
        <v/>
      </c>
      <c r="AU10" s="28">
        <f>IF(AU$3&gt;=c_c2_lpu,1,0)</f>
        <v/>
      </c>
      <c r="AV10" s="28">
        <f>IF(AV$3&gt;=c_c2_lpu,1,0)</f>
        <v/>
      </c>
      <c r="AW10" s="28">
        <f>IF(AW$3&gt;=c_c2_lpu,1,0)</f>
        <v/>
      </c>
      <c r="AX10" s="28">
        <f>IF(AX$3&gt;=c_c2_lpu,1,0)</f>
        <v/>
      </c>
      <c r="AY10" s="28">
        <f>IF(AY$3&gt;=c_c2_lpu,1,0)</f>
        <v/>
      </c>
      <c r="AZ10" s="28">
        <f>IF(AZ$3&gt;=c_c2_lpu,1,0)</f>
        <v/>
      </c>
      <c r="BA10" s="28">
        <f>IF(BA$3&gt;=c_c2_lpu,1,0)</f>
        <v/>
      </c>
      <c r="BB10" s="28">
        <f>IF(BB$3&gt;=c_c2_lpu,1,0)</f>
        <v/>
      </c>
      <c r="BC10" s="28">
        <f>IF(BC$3&gt;=c_c2_lpu,1,0)</f>
        <v/>
      </c>
      <c r="BD10" s="28">
        <f>IF(BD$3&gt;=c_c2_lpu,1,0)</f>
        <v/>
      </c>
      <c r="BE10" s="28">
        <f>IF(BE$3&gt;=c_c2_lpu,1,0)</f>
        <v/>
      </c>
      <c r="BF10" s="28">
        <f>IF(BF$3&gt;=c_c2_lpu,1,0)</f>
        <v/>
      </c>
      <c r="BG10" s="28">
        <f>IF(BG$3&gt;=c_c2_lpu,1,0)</f>
        <v/>
      </c>
      <c r="BH10" s="28">
        <f>IF(BH$3&gt;=c_c2_lpu,1,0)</f>
        <v/>
      </c>
      <c r="BI10" s="28">
        <f>IF(BI$3&gt;=c_c2_lpu,1,0)</f>
        <v/>
      </c>
      <c r="BJ10" s="28">
        <f>IF(BJ$3&gt;=c_c2_lpu,1,0)</f>
        <v/>
      </c>
      <c r="BK10" s="28">
        <f>IF(BK$3&gt;=c_c2_lpu,1,0)</f>
        <v/>
      </c>
      <c r="BL10" s="28">
        <f>IF(BL$3&gt;=c_c2_lpu,1,0)</f>
        <v/>
      </c>
    </row>
    <row r="11">
      <c r="A11" s="9" t="inlineStr">
        <is>
          <t>MINSA central con segunda ola</t>
        </is>
      </c>
      <c r="D11" s="28">
        <f>IF(D$3&gt;=c_c2_minsa,1,0)</f>
        <v/>
      </c>
      <c r="E11" s="28">
        <f>IF(E$3&gt;=c_c2_minsa,1,0)</f>
        <v/>
      </c>
      <c r="F11" s="28">
        <f>IF(F$3&gt;=c_c2_minsa,1,0)</f>
        <v/>
      </c>
      <c r="G11" s="28">
        <f>IF(G$3&gt;=c_c2_minsa,1,0)</f>
        <v/>
      </c>
      <c r="H11" s="28">
        <f>IF(H$3&gt;=c_c2_minsa,1,0)</f>
        <v/>
      </c>
      <c r="I11" s="28">
        <f>IF(I$3&gt;=c_c2_minsa,1,0)</f>
        <v/>
      </c>
      <c r="J11" s="28">
        <f>IF(J$3&gt;=c_c2_minsa,1,0)</f>
        <v/>
      </c>
      <c r="K11" s="28">
        <f>IF(K$3&gt;=c_c2_minsa,1,0)</f>
        <v/>
      </c>
      <c r="L11" s="28">
        <f>IF(L$3&gt;=c_c2_minsa,1,0)</f>
        <v/>
      </c>
      <c r="M11" s="28">
        <f>IF(M$3&gt;=c_c2_minsa,1,0)</f>
        <v/>
      </c>
      <c r="N11" s="28">
        <f>IF(N$3&gt;=c_c2_minsa,1,0)</f>
        <v/>
      </c>
      <c r="O11" s="28">
        <f>IF(O$3&gt;=c_c2_minsa,1,0)</f>
        <v/>
      </c>
      <c r="P11" s="28">
        <f>IF(P$3&gt;=c_c2_minsa,1,0)</f>
        <v/>
      </c>
      <c r="Q11" s="28">
        <f>IF(Q$3&gt;=c_c2_minsa,1,0)</f>
        <v/>
      </c>
      <c r="R11" s="28">
        <f>IF(R$3&gt;=c_c2_minsa,1,0)</f>
        <v/>
      </c>
      <c r="S11" s="28">
        <f>IF(S$3&gt;=c_c2_minsa,1,0)</f>
        <v/>
      </c>
      <c r="T11" s="28">
        <f>IF(T$3&gt;=c_c2_minsa,1,0)</f>
        <v/>
      </c>
      <c r="U11" s="28">
        <f>IF(U$3&gt;=c_c2_minsa,1,0)</f>
        <v/>
      </c>
      <c r="V11" s="28">
        <f>IF(V$3&gt;=c_c2_minsa,1,0)</f>
        <v/>
      </c>
      <c r="W11" s="28">
        <f>IF(W$3&gt;=c_c2_minsa,1,0)</f>
        <v/>
      </c>
      <c r="X11" s="28">
        <f>IF(X$3&gt;=c_c2_minsa,1,0)</f>
        <v/>
      </c>
      <c r="Y11" s="28">
        <f>IF(Y$3&gt;=c_c2_minsa,1,0)</f>
        <v/>
      </c>
      <c r="Z11" s="28">
        <f>IF(Z$3&gt;=c_c2_minsa,1,0)</f>
        <v/>
      </c>
      <c r="AA11" s="28">
        <f>IF(AA$3&gt;=c_c2_minsa,1,0)</f>
        <v/>
      </c>
      <c r="AB11" s="28">
        <f>IF(AB$3&gt;=c_c2_minsa,1,0)</f>
        <v/>
      </c>
      <c r="AC11" s="28">
        <f>IF(AC$3&gt;=c_c2_minsa,1,0)</f>
        <v/>
      </c>
      <c r="AD11" s="28">
        <f>IF(AD$3&gt;=c_c2_minsa,1,0)</f>
        <v/>
      </c>
      <c r="AE11" s="28">
        <f>IF(AE$3&gt;=c_c2_minsa,1,0)</f>
        <v/>
      </c>
      <c r="AF11" s="28">
        <f>IF(AF$3&gt;=c_c2_minsa,1,0)</f>
        <v/>
      </c>
      <c r="AG11" s="28">
        <f>IF(AG$3&gt;=c_c2_minsa,1,0)</f>
        <v/>
      </c>
      <c r="AH11" s="28">
        <f>IF(AH$3&gt;=c_c2_minsa,1,0)</f>
        <v/>
      </c>
      <c r="AI11" s="28">
        <f>IF(AI$3&gt;=c_c2_minsa,1,0)</f>
        <v/>
      </c>
      <c r="AJ11" s="28">
        <f>IF(AJ$3&gt;=c_c2_minsa,1,0)</f>
        <v/>
      </c>
      <c r="AK11" s="28">
        <f>IF(AK$3&gt;=c_c2_minsa,1,0)</f>
        <v/>
      </c>
      <c r="AL11" s="28">
        <f>IF(AL$3&gt;=c_c2_minsa,1,0)</f>
        <v/>
      </c>
      <c r="AM11" s="28">
        <f>IF(AM$3&gt;=c_c2_minsa,1,0)</f>
        <v/>
      </c>
      <c r="AN11" s="28">
        <f>IF(AN$3&gt;=c_c2_minsa,1,0)</f>
        <v/>
      </c>
      <c r="AO11" s="28">
        <f>IF(AO$3&gt;=c_c2_minsa,1,0)</f>
        <v/>
      </c>
      <c r="AP11" s="28">
        <f>IF(AP$3&gt;=c_c2_minsa,1,0)</f>
        <v/>
      </c>
      <c r="AQ11" s="28">
        <f>IF(AQ$3&gt;=c_c2_minsa,1,0)</f>
        <v/>
      </c>
      <c r="AR11" s="28">
        <f>IF(AR$3&gt;=c_c2_minsa,1,0)</f>
        <v/>
      </c>
      <c r="AS11" s="28">
        <f>IF(AS$3&gt;=c_c2_minsa,1,0)</f>
        <v/>
      </c>
      <c r="AT11" s="28">
        <f>IF(AT$3&gt;=c_c2_minsa,1,0)</f>
        <v/>
      </c>
      <c r="AU11" s="28">
        <f>IF(AU$3&gt;=c_c2_minsa,1,0)</f>
        <v/>
      </c>
      <c r="AV11" s="28">
        <f>IF(AV$3&gt;=c_c2_minsa,1,0)</f>
        <v/>
      </c>
      <c r="AW11" s="28">
        <f>IF(AW$3&gt;=c_c2_minsa,1,0)</f>
        <v/>
      </c>
      <c r="AX11" s="28">
        <f>IF(AX$3&gt;=c_c2_minsa,1,0)</f>
        <v/>
      </c>
      <c r="AY11" s="28">
        <f>IF(AY$3&gt;=c_c2_minsa,1,0)</f>
        <v/>
      </c>
      <c r="AZ11" s="28">
        <f>IF(AZ$3&gt;=c_c2_minsa,1,0)</f>
        <v/>
      </c>
      <c r="BA11" s="28">
        <f>IF(BA$3&gt;=c_c2_minsa,1,0)</f>
        <v/>
      </c>
      <c r="BB11" s="28">
        <f>IF(BB$3&gt;=c_c2_minsa,1,0)</f>
        <v/>
      </c>
      <c r="BC11" s="28">
        <f>IF(BC$3&gt;=c_c2_minsa,1,0)</f>
        <v/>
      </c>
      <c r="BD11" s="28">
        <f>IF(BD$3&gt;=c_c2_minsa,1,0)</f>
        <v/>
      </c>
      <c r="BE11" s="28">
        <f>IF(BE$3&gt;=c_c2_minsa,1,0)</f>
        <v/>
      </c>
      <c r="BF11" s="28">
        <f>IF(BF$3&gt;=c_c2_minsa,1,0)</f>
        <v/>
      </c>
      <c r="BG11" s="28">
        <f>IF(BG$3&gt;=c_c2_minsa,1,0)</f>
        <v/>
      </c>
      <c r="BH11" s="28">
        <f>IF(BH$3&gt;=c_c2_minsa,1,0)</f>
        <v/>
      </c>
      <c r="BI11" s="28">
        <f>IF(BI$3&gt;=c_c2_minsa,1,0)</f>
        <v/>
      </c>
      <c r="BJ11" s="28">
        <f>IF(BJ$3&gt;=c_c2_minsa,1,0)</f>
        <v/>
      </c>
      <c r="BK11" s="28">
        <f>IF(BK$3&gt;=c_c2_minsa,1,0)</f>
        <v/>
      </c>
      <c r="BL11" s="28">
        <f>IF(BL$3&gt;=c_c2_minsa,1,0)</f>
        <v/>
      </c>
    </row>
    <row r="12">
      <c r="A12" s="9" t="inlineStr">
        <is>
          <t>Multiplicador descentralizado (olas)</t>
        </is>
      </c>
      <c r="D12" s="18">
        <f>1+c_k2*D8</f>
        <v/>
      </c>
      <c r="E12" s="18">
        <f>1+c_k2*E8</f>
        <v/>
      </c>
      <c r="F12" s="18">
        <f>1+c_k2*F8</f>
        <v/>
      </c>
      <c r="G12" s="18">
        <f>1+c_k2*G8</f>
        <v/>
      </c>
      <c r="H12" s="18">
        <f>1+c_k2*H8</f>
        <v/>
      </c>
      <c r="I12" s="18">
        <f>1+c_k2*I8</f>
        <v/>
      </c>
      <c r="J12" s="18">
        <f>1+c_k2*J8</f>
        <v/>
      </c>
      <c r="K12" s="18">
        <f>1+c_k2*K8</f>
        <v/>
      </c>
      <c r="L12" s="18">
        <f>1+c_k2*L8</f>
        <v/>
      </c>
      <c r="M12" s="18">
        <f>1+c_k2*M8</f>
        <v/>
      </c>
      <c r="N12" s="18">
        <f>1+c_k2*N8</f>
        <v/>
      </c>
      <c r="O12" s="18">
        <f>1+c_k2*O8</f>
        <v/>
      </c>
      <c r="P12" s="18">
        <f>1+c_k2*P8</f>
        <v/>
      </c>
      <c r="Q12" s="18">
        <f>1+c_k2*Q8</f>
        <v/>
      </c>
      <c r="R12" s="18">
        <f>1+c_k2*R8</f>
        <v/>
      </c>
      <c r="S12" s="18">
        <f>1+c_k2*S8</f>
        <v/>
      </c>
      <c r="T12" s="18">
        <f>1+c_k2*T8</f>
        <v/>
      </c>
      <c r="U12" s="18">
        <f>1+c_k2*U8</f>
        <v/>
      </c>
      <c r="V12" s="18">
        <f>1+c_k2*V8</f>
        <v/>
      </c>
      <c r="W12" s="18">
        <f>1+c_k2*W8</f>
        <v/>
      </c>
      <c r="X12" s="18">
        <f>1+c_k2*X8</f>
        <v/>
      </c>
      <c r="Y12" s="18">
        <f>1+c_k2*Y8</f>
        <v/>
      </c>
      <c r="Z12" s="18">
        <f>1+c_k2*Z8</f>
        <v/>
      </c>
      <c r="AA12" s="18">
        <f>1+c_k2*AA8</f>
        <v/>
      </c>
      <c r="AB12" s="18">
        <f>1+c_k2*AB8</f>
        <v/>
      </c>
      <c r="AC12" s="18">
        <f>1+c_k2*AC8</f>
        <v/>
      </c>
      <c r="AD12" s="18">
        <f>1+c_k2*AD8</f>
        <v/>
      </c>
      <c r="AE12" s="18">
        <f>1+c_k2*AE8</f>
        <v/>
      </c>
      <c r="AF12" s="18">
        <f>1+c_k2*AF8</f>
        <v/>
      </c>
      <c r="AG12" s="18">
        <f>1+c_k2*AG8</f>
        <v/>
      </c>
      <c r="AH12" s="18">
        <f>1+c_k2*AH8</f>
        <v/>
      </c>
      <c r="AI12" s="18">
        <f>1+c_k2*AI8</f>
        <v/>
      </c>
      <c r="AJ12" s="18">
        <f>1+c_k2*AJ8</f>
        <v/>
      </c>
      <c r="AK12" s="18">
        <f>1+c_k2*AK8</f>
        <v/>
      </c>
      <c r="AL12" s="18">
        <f>1+c_k2*AL8</f>
        <v/>
      </c>
      <c r="AM12" s="18">
        <f>1+c_k2*AM8</f>
        <v/>
      </c>
      <c r="AN12" s="18">
        <f>1+c_k2*AN8</f>
        <v/>
      </c>
      <c r="AO12" s="18">
        <f>1+c_k2*AO8</f>
        <v/>
      </c>
      <c r="AP12" s="18">
        <f>1+c_k2*AP8</f>
        <v/>
      </c>
      <c r="AQ12" s="18">
        <f>1+c_k2*AQ8</f>
        <v/>
      </c>
      <c r="AR12" s="18">
        <f>1+c_k2*AR8</f>
        <v/>
      </c>
      <c r="AS12" s="18">
        <f>1+c_k2*AS8</f>
        <v/>
      </c>
      <c r="AT12" s="18">
        <f>1+c_k2*AT8</f>
        <v/>
      </c>
      <c r="AU12" s="18">
        <f>1+c_k2*AU8</f>
        <v/>
      </c>
      <c r="AV12" s="18">
        <f>1+c_k2*AV8</f>
        <v/>
      </c>
      <c r="AW12" s="18">
        <f>1+c_k2*AW8</f>
        <v/>
      </c>
      <c r="AX12" s="18">
        <f>1+c_k2*AX8</f>
        <v/>
      </c>
      <c r="AY12" s="18">
        <f>1+c_k2*AY8</f>
        <v/>
      </c>
      <c r="AZ12" s="18">
        <f>1+c_k2*AZ8</f>
        <v/>
      </c>
      <c r="BA12" s="18">
        <f>1+c_k2*BA8</f>
        <v/>
      </c>
      <c r="BB12" s="18">
        <f>1+c_k2*BB8</f>
        <v/>
      </c>
      <c r="BC12" s="18">
        <f>1+c_k2*BC8</f>
        <v/>
      </c>
      <c r="BD12" s="18">
        <f>1+c_k2*BD8</f>
        <v/>
      </c>
      <c r="BE12" s="18">
        <f>1+c_k2*BE8</f>
        <v/>
      </c>
      <c r="BF12" s="18">
        <f>1+c_k2*BF8</f>
        <v/>
      </c>
      <c r="BG12" s="18">
        <f>1+c_k2*BG8</f>
        <v/>
      </c>
      <c r="BH12" s="18">
        <f>1+c_k2*BH8</f>
        <v/>
      </c>
      <c r="BI12" s="18">
        <f>1+c_k2*BI8</f>
        <v/>
      </c>
      <c r="BJ12" s="18">
        <f>1+c_k2*BJ8</f>
        <v/>
      </c>
      <c r="BK12" s="18">
        <f>1+c_k2*BK8</f>
        <v/>
      </c>
      <c r="BL12" s="18">
        <f>1+c_k2*BL8</f>
        <v/>
      </c>
    </row>
    <row r="13">
      <c r="A13" s="9" t="inlineStr">
        <is>
          <t>Multiplicador LPU (olas)</t>
        </is>
      </c>
      <c r="D13" s="18">
        <f>1+c_k2*D10</f>
        <v/>
      </c>
      <c r="E13" s="18">
        <f>1+c_k2*E10</f>
        <v/>
      </c>
      <c r="F13" s="18">
        <f>1+c_k2*F10</f>
        <v/>
      </c>
      <c r="G13" s="18">
        <f>1+c_k2*G10</f>
        <v/>
      </c>
      <c r="H13" s="18">
        <f>1+c_k2*H10</f>
        <v/>
      </c>
      <c r="I13" s="18">
        <f>1+c_k2*I10</f>
        <v/>
      </c>
      <c r="J13" s="18">
        <f>1+c_k2*J10</f>
        <v/>
      </c>
      <c r="K13" s="18">
        <f>1+c_k2*K10</f>
        <v/>
      </c>
      <c r="L13" s="18">
        <f>1+c_k2*L10</f>
        <v/>
      </c>
      <c r="M13" s="18">
        <f>1+c_k2*M10</f>
        <v/>
      </c>
      <c r="N13" s="18">
        <f>1+c_k2*N10</f>
        <v/>
      </c>
      <c r="O13" s="18">
        <f>1+c_k2*O10</f>
        <v/>
      </c>
      <c r="P13" s="18">
        <f>1+c_k2*P10</f>
        <v/>
      </c>
      <c r="Q13" s="18">
        <f>1+c_k2*Q10</f>
        <v/>
      </c>
      <c r="R13" s="18">
        <f>1+c_k2*R10</f>
        <v/>
      </c>
      <c r="S13" s="18">
        <f>1+c_k2*S10</f>
        <v/>
      </c>
      <c r="T13" s="18">
        <f>1+c_k2*T10</f>
        <v/>
      </c>
      <c r="U13" s="18">
        <f>1+c_k2*U10</f>
        <v/>
      </c>
      <c r="V13" s="18">
        <f>1+c_k2*V10</f>
        <v/>
      </c>
      <c r="W13" s="18">
        <f>1+c_k2*W10</f>
        <v/>
      </c>
      <c r="X13" s="18">
        <f>1+c_k2*X10</f>
        <v/>
      </c>
      <c r="Y13" s="18">
        <f>1+c_k2*Y10</f>
        <v/>
      </c>
      <c r="Z13" s="18">
        <f>1+c_k2*Z10</f>
        <v/>
      </c>
      <c r="AA13" s="18">
        <f>1+c_k2*AA10</f>
        <v/>
      </c>
      <c r="AB13" s="18">
        <f>1+c_k2*AB10</f>
        <v/>
      </c>
      <c r="AC13" s="18">
        <f>1+c_k2*AC10</f>
        <v/>
      </c>
      <c r="AD13" s="18">
        <f>1+c_k2*AD10</f>
        <v/>
      </c>
      <c r="AE13" s="18">
        <f>1+c_k2*AE10</f>
        <v/>
      </c>
      <c r="AF13" s="18">
        <f>1+c_k2*AF10</f>
        <v/>
      </c>
      <c r="AG13" s="18">
        <f>1+c_k2*AG10</f>
        <v/>
      </c>
      <c r="AH13" s="18">
        <f>1+c_k2*AH10</f>
        <v/>
      </c>
      <c r="AI13" s="18">
        <f>1+c_k2*AI10</f>
        <v/>
      </c>
      <c r="AJ13" s="18">
        <f>1+c_k2*AJ10</f>
        <v/>
      </c>
      <c r="AK13" s="18">
        <f>1+c_k2*AK10</f>
        <v/>
      </c>
      <c r="AL13" s="18">
        <f>1+c_k2*AL10</f>
        <v/>
      </c>
      <c r="AM13" s="18">
        <f>1+c_k2*AM10</f>
        <v/>
      </c>
      <c r="AN13" s="18">
        <f>1+c_k2*AN10</f>
        <v/>
      </c>
      <c r="AO13" s="18">
        <f>1+c_k2*AO10</f>
        <v/>
      </c>
      <c r="AP13" s="18">
        <f>1+c_k2*AP10</f>
        <v/>
      </c>
      <c r="AQ13" s="18">
        <f>1+c_k2*AQ10</f>
        <v/>
      </c>
      <c r="AR13" s="18">
        <f>1+c_k2*AR10</f>
        <v/>
      </c>
      <c r="AS13" s="18">
        <f>1+c_k2*AS10</f>
        <v/>
      </c>
      <c r="AT13" s="18">
        <f>1+c_k2*AT10</f>
        <v/>
      </c>
      <c r="AU13" s="18">
        <f>1+c_k2*AU10</f>
        <v/>
      </c>
      <c r="AV13" s="18">
        <f>1+c_k2*AV10</f>
        <v/>
      </c>
      <c r="AW13" s="18">
        <f>1+c_k2*AW10</f>
        <v/>
      </c>
      <c r="AX13" s="18">
        <f>1+c_k2*AX10</f>
        <v/>
      </c>
      <c r="AY13" s="18">
        <f>1+c_k2*AY10</f>
        <v/>
      </c>
      <c r="AZ13" s="18">
        <f>1+c_k2*AZ10</f>
        <v/>
      </c>
      <c r="BA13" s="18">
        <f>1+c_k2*BA10</f>
        <v/>
      </c>
      <c r="BB13" s="18">
        <f>1+c_k2*BB10</f>
        <v/>
      </c>
      <c r="BC13" s="18">
        <f>1+c_k2*BC10</f>
        <v/>
      </c>
      <c r="BD13" s="18">
        <f>1+c_k2*BD10</f>
        <v/>
      </c>
      <c r="BE13" s="18">
        <f>1+c_k2*BE10</f>
        <v/>
      </c>
      <c r="BF13" s="18">
        <f>1+c_k2*BF10</f>
        <v/>
      </c>
      <c r="BG13" s="18">
        <f>1+c_k2*BG10</f>
        <v/>
      </c>
      <c r="BH13" s="18">
        <f>1+c_k2*BH10</f>
        <v/>
      </c>
      <c r="BI13" s="18">
        <f>1+c_k2*BI10</f>
        <v/>
      </c>
      <c r="BJ13" s="18">
        <f>1+c_k2*BJ10</f>
        <v/>
      </c>
      <c r="BK13" s="18">
        <f>1+c_k2*BK10</f>
        <v/>
      </c>
      <c r="BL13" s="18">
        <f>1+c_k2*BL10</f>
        <v/>
      </c>
    </row>
    <row r="14">
      <c r="A14" s="9" t="inlineStr">
        <is>
          <t>Multiplicador MINSA central (olas)</t>
        </is>
      </c>
      <c r="D14" s="18">
        <f>1+c_k2*D11</f>
        <v/>
      </c>
      <c r="E14" s="18">
        <f>1+c_k2*E11</f>
        <v/>
      </c>
      <c r="F14" s="18">
        <f>1+c_k2*F11</f>
        <v/>
      </c>
      <c r="G14" s="18">
        <f>1+c_k2*G11</f>
        <v/>
      </c>
      <c r="H14" s="18">
        <f>1+c_k2*H11</f>
        <v/>
      </c>
      <c r="I14" s="18">
        <f>1+c_k2*I11</f>
        <v/>
      </c>
      <c r="J14" s="18">
        <f>1+c_k2*J11</f>
        <v/>
      </c>
      <c r="K14" s="18">
        <f>1+c_k2*K11</f>
        <v/>
      </c>
      <c r="L14" s="18">
        <f>1+c_k2*L11</f>
        <v/>
      </c>
      <c r="M14" s="18">
        <f>1+c_k2*M11</f>
        <v/>
      </c>
      <c r="N14" s="18">
        <f>1+c_k2*N11</f>
        <v/>
      </c>
      <c r="O14" s="18">
        <f>1+c_k2*O11</f>
        <v/>
      </c>
      <c r="P14" s="18">
        <f>1+c_k2*P11</f>
        <v/>
      </c>
      <c r="Q14" s="18">
        <f>1+c_k2*Q11</f>
        <v/>
      </c>
      <c r="R14" s="18">
        <f>1+c_k2*R11</f>
        <v/>
      </c>
      <c r="S14" s="18">
        <f>1+c_k2*S11</f>
        <v/>
      </c>
      <c r="T14" s="18">
        <f>1+c_k2*T11</f>
        <v/>
      </c>
      <c r="U14" s="18">
        <f>1+c_k2*U11</f>
        <v/>
      </c>
      <c r="V14" s="18">
        <f>1+c_k2*V11</f>
        <v/>
      </c>
      <c r="W14" s="18">
        <f>1+c_k2*W11</f>
        <v/>
      </c>
      <c r="X14" s="18">
        <f>1+c_k2*X11</f>
        <v/>
      </c>
      <c r="Y14" s="18">
        <f>1+c_k2*Y11</f>
        <v/>
      </c>
      <c r="Z14" s="18">
        <f>1+c_k2*Z11</f>
        <v/>
      </c>
      <c r="AA14" s="18">
        <f>1+c_k2*AA11</f>
        <v/>
      </c>
      <c r="AB14" s="18">
        <f>1+c_k2*AB11</f>
        <v/>
      </c>
      <c r="AC14" s="18">
        <f>1+c_k2*AC11</f>
        <v/>
      </c>
      <c r="AD14" s="18">
        <f>1+c_k2*AD11</f>
        <v/>
      </c>
      <c r="AE14" s="18">
        <f>1+c_k2*AE11</f>
        <v/>
      </c>
      <c r="AF14" s="18">
        <f>1+c_k2*AF11</f>
        <v/>
      </c>
      <c r="AG14" s="18">
        <f>1+c_k2*AG11</f>
        <v/>
      </c>
      <c r="AH14" s="18">
        <f>1+c_k2*AH11</f>
        <v/>
      </c>
      <c r="AI14" s="18">
        <f>1+c_k2*AI11</f>
        <v/>
      </c>
      <c r="AJ14" s="18">
        <f>1+c_k2*AJ11</f>
        <v/>
      </c>
      <c r="AK14" s="18">
        <f>1+c_k2*AK11</f>
        <v/>
      </c>
      <c r="AL14" s="18">
        <f>1+c_k2*AL11</f>
        <v/>
      </c>
      <c r="AM14" s="18">
        <f>1+c_k2*AM11</f>
        <v/>
      </c>
      <c r="AN14" s="18">
        <f>1+c_k2*AN11</f>
        <v/>
      </c>
      <c r="AO14" s="18">
        <f>1+c_k2*AO11</f>
        <v/>
      </c>
      <c r="AP14" s="18">
        <f>1+c_k2*AP11</f>
        <v/>
      </c>
      <c r="AQ14" s="18">
        <f>1+c_k2*AQ11</f>
        <v/>
      </c>
      <c r="AR14" s="18">
        <f>1+c_k2*AR11</f>
        <v/>
      </c>
      <c r="AS14" s="18">
        <f>1+c_k2*AS11</f>
        <v/>
      </c>
      <c r="AT14" s="18">
        <f>1+c_k2*AT11</f>
        <v/>
      </c>
      <c r="AU14" s="18">
        <f>1+c_k2*AU11</f>
        <v/>
      </c>
      <c r="AV14" s="18">
        <f>1+c_k2*AV11</f>
        <v/>
      </c>
      <c r="AW14" s="18">
        <f>1+c_k2*AW11</f>
        <v/>
      </c>
      <c r="AX14" s="18">
        <f>1+c_k2*AX11</f>
        <v/>
      </c>
      <c r="AY14" s="18">
        <f>1+c_k2*AY11</f>
        <v/>
      </c>
      <c r="AZ14" s="18">
        <f>1+c_k2*AZ11</f>
        <v/>
      </c>
      <c r="BA14" s="18">
        <f>1+c_k2*BA11</f>
        <v/>
      </c>
      <c r="BB14" s="18">
        <f>1+c_k2*BB11</f>
        <v/>
      </c>
      <c r="BC14" s="18">
        <f>1+c_k2*BC11</f>
        <v/>
      </c>
      <c r="BD14" s="18">
        <f>1+c_k2*BD11</f>
        <v/>
      </c>
      <c r="BE14" s="18">
        <f>1+c_k2*BE11</f>
        <v/>
      </c>
      <c r="BF14" s="18">
        <f>1+c_k2*BF11</f>
        <v/>
      </c>
      <c r="BG14" s="18">
        <f>1+c_k2*BG11</f>
        <v/>
      </c>
      <c r="BH14" s="18">
        <f>1+c_k2*BH11</f>
        <v/>
      </c>
      <c r="BI14" s="18">
        <f>1+c_k2*BI11</f>
        <v/>
      </c>
      <c r="BJ14" s="18">
        <f>1+c_k2*BJ11</f>
        <v/>
      </c>
      <c r="BK14" s="18">
        <f>1+c_k2*BK11</f>
        <v/>
      </c>
      <c r="BL14" s="18">
        <f>1+c_k2*BL11</f>
        <v/>
      </c>
    </row>
    <row r="15">
      <c r="A15" s="9" t="inlineStr">
        <is>
          <t>Ventas descentralizadas</t>
        </is>
      </c>
      <c r="D15" s="14">
        <f>(s_Rd3+s_Rd4)/12*D7*D12*D5*D6</f>
        <v/>
      </c>
      <c r="E15" s="14">
        <f>(s_Rd3+s_Rd4)/12*E7*E12*E5*E6</f>
        <v/>
      </c>
      <c r="F15" s="14">
        <f>(s_Rd3+s_Rd4)/12*F7*F12*F5*F6</f>
        <v/>
      </c>
      <c r="G15" s="14">
        <f>(s_Rd3+s_Rd4)/12*G7*G12*G5*G6</f>
        <v/>
      </c>
      <c r="H15" s="14">
        <f>(s_Rd3+s_Rd4)/12*H7*H12*H5*H6</f>
        <v/>
      </c>
      <c r="I15" s="14">
        <f>(s_Rd3+s_Rd4)/12*I7*I12*I5*I6</f>
        <v/>
      </c>
      <c r="J15" s="14">
        <f>(s_Rd3+s_Rd4)/12*J7*J12*J5*J6</f>
        <v/>
      </c>
      <c r="K15" s="14">
        <f>(s_Rd3+s_Rd4)/12*K7*K12*K5*K6</f>
        <v/>
      </c>
      <c r="L15" s="14">
        <f>(s_Rd3+s_Rd4)/12*L7*L12*L5*L6</f>
        <v/>
      </c>
      <c r="M15" s="14">
        <f>(s_Rd3+s_Rd4)/12*M7*M12*M5*M6</f>
        <v/>
      </c>
      <c r="N15" s="14">
        <f>(s_Rd3+s_Rd4)/12*N7*N12*N5*N6</f>
        <v/>
      </c>
      <c r="O15" s="14">
        <f>(s_Rd3+s_Rd4)/12*O7*O12*O5*O6</f>
        <v/>
      </c>
      <c r="P15" s="14">
        <f>(s_Rd3+s_Rd4)/12*P7*P12*P5*P6</f>
        <v/>
      </c>
      <c r="Q15" s="14">
        <f>(s_Rd3+s_Rd4)/12*Q7*Q12*Q5*Q6</f>
        <v/>
      </c>
      <c r="R15" s="14">
        <f>(s_Rd3+s_Rd4)/12*R7*R12*R5*R6</f>
        <v/>
      </c>
      <c r="S15" s="14">
        <f>(s_Rd3+s_Rd4)/12*S7*S12*S5*S6</f>
        <v/>
      </c>
      <c r="T15" s="14">
        <f>(s_Rd3+s_Rd4)/12*T7*T12*T5*T6</f>
        <v/>
      </c>
      <c r="U15" s="14">
        <f>(s_Rd3+s_Rd4)/12*U7*U12*U5*U6</f>
        <v/>
      </c>
      <c r="V15" s="14">
        <f>(s_Rd3+s_Rd4)/12*V7*V12*V5*V6</f>
        <v/>
      </c>
      <c r="W15" s="14">
        <f>(s_Rd3+s_Rd4)/12*W7*W12*W5*W6</f>
        <v/>
      </c>
      <c r="X15" s="14">
        <f>(s_Rd3+s_Rd4)/12*X7*X12*X5*X6</f>
        <v/>
      </c>
      <c r="Y15" s="14">
        <f>(s_Rd3+s_Rd4)/12*Y7*Y12*Y5*Y6</f>
        <v/>
      </c>
      <c r="Z15" s="14">
        <f>(s_Rd3+s_Rd4)/12*Z7*Z12*Z5*Z6</f>
        <v/>
      </c>
      <c r="AA15" s="14">
        <f>(s_Rd3+s_Rd4)/12*AA7*AA12*AA5*AA6</f>
        <v/>
      </c>
      <c r="AB15" s="14">
        <f>(s_Rd3+s_Rd4)/12*AB7*AB12*AB5*AB6</f>
        <v/>
      </c>
      <c r="AC15" s="14">
        <f>(s_Rd3+s_Rd4)/12*AC7*AC12*AC5*AC6</f>
        <v/>
      </c>
      <c r="AD15" s="14">
        <f>(s_Rd3+s_Rd4)/12*AD7*AD12*AD5*AD6</f>
        <v/>
      </c>
      <c r="AE15" s="14">
        <f>(s_Rd3+s_Rd4)/12*AE7*AE12*AE5*AE6</f>
        <v/>
      </c>
      <c r="AF15" s="14">
        <f>(s_Rd3+s_Rd4)/12*AF7*AF12*AF5*AF6</f>
        <v/>
      </c>
      <c r="AG15" s="14">
        <f>(s_Rd3+s_Rd4)/12*AG7*AG12*AG5*AG6</f>
        <v/>
      </c>
      <c r="AH15" s="14">
        <f>(s_Rd3+s_Rd4)/12*AH7*AH12*AH5*AH6</f>
        <v/>
      </c>
      <c r="AI15" s="14">
        <f>(s_Rd3+s_Rd4)/12*AI7*AI12*AI5*AI6</f>
        <v/>
      </c>
      <c r="AJ15" s="14">
        <f>(s_Rd3+s_Rd4)/12*AJ7*AJ12*AJ5*AJ6</f>
        <v/>
      </c>
      <c r="AK15" s="14">
        <f>(s_Rd3+s_Rd4)/12*AK7*AK12*AK5*AK6</f>
        <v/>
      </c>
      <c r="AL15" s="14">
        <f>(s_Rd3+s_Rd4)/12*AL7*AL12*AL5*AL6</f>
        <v/>
      </c>
      <c r="AM15" s="14">
        <f>(s_Rd3+s_Rd4)/12*AM7*AM12*AM5*AM6</f>
        <v/>
      </c>
      <c r="AN15" s="14">
        <f>(s_Rd3+s_Rd4)/12*AN7*AN12*AN5*AN6</f>
        <v/>
      </c>
      <c r="AO15" s="14">
        <f>(s_Rd3+s_Rd4)/12*AO7*AO12*AO5*AO6</f>
        <v/>
      </c>
      <c r="AP15" s="14">
        <f>(s_Rd3+s_Rd4)/12*AP7*AP12*AP5*AP6</f>
        <v/>
      </c>
      <c r="AQ15" s="14">
        <f>(s_Rd3+s_Rd4)/12*AQ7*AQ12*AQ5*AQ6</f>
        <v/>
      </c>
      <c r="AR15" s="14">
        <f>(s_Rd3+s_Rd4)/12*AR7*AR12*AR5*AR6</f>
        <v/>
      </c>
      <c r="AS15" s="14">
        <f>(s_Rd3+s_Rd4)/12*AS7*AS12*AS5*AS6</f>
        <v/>
      </c>
      <c r="AT15" s="14">
        <f>(s_Rd3+s_Rd4)/12*AT7*AT12*AT5*AT6</f>
        <v/>
      </c>
      <c r="AU15" s="14">
        <f>(s_Rd3+s_Rd4)/12*AU7*AU12*AU5*AU6</f>
        <v/>
      </c>
      <c r="AV15" s="14">
        <f>(s_Rd3+s_Rd4)/12*AV7*AV12*AV5*AV6</f>
        <v/>
      </c>
      <c r="AW15" s="14">
        <f>(s_Rd3+s_Rd4)/12*AW7*AW12*AW5*AW6</f>
        <v/>
      </c>
      <c r="AX15" s="14">
        <f>(s_Rd3+s_Rd4)/12*AX7*AX12*AX5*AX6</f>
        <v/>
      </c>
      <c r="AY15" s="14">
        <f>(s_Rd3+s_Rd4)/12*AY7*AY12*AY5*AY6</f>
        <v/>
      </c>
      <c r="AZ15" s="14">
        <f>(s_Rd3+s_Rd4)/12*AZ7*AZ12*AZ5*AZ6</f>
        <v/>
      </c>
      <c r="BA15" s="14">
        <f>(s_Rd3+s_Rd4)/12*BA7*BA12*BA5*BA6</f>
        <v/>
      </c>
      <c r="BB15" s="14">
        <f>(s_Rd3+s_Rd4)/12*BB7*BB12*BB5*BB6</f>
        <v/>
      </c>
      <c r="BC15" s="14">
        <f>(s_Rd3+s_Rd4)/12*BC7*BC12*BC5*BC6</f>
        <v/>
      </c>
      <c r="BD15" s="14">
        <f>(s_Rd3+s_Rd4)/12*BD7*BD12*BD5*BD6</f>
        <v/>
      </c>
      <c r="BE15" s="14">
        <f>(s_Rd3+s_Rd4)/12*BE7*BE12*BE5*BE6</f>
        <v/>
      </c>
      <c r="BF15" s="14">
        <f>(s_Rd3+s_Rd4)/12*BF7*BF12*BF5*BF6</f>
        <v/>
      </c>
      <c r="BG15" s="14">
        <f>(s_Rd3+s_Rd4)/12*BG7*BG12*BG5*BG6</f>
        <v/>
      </c>
      <c r="BH15" s="14">
        <f>(s_Rd3+s_Rd4)/12*BH7*BH12*BH5*BH6</f>
        <v/>
      </c>
      <c r="BI15" s="14">
        <f>(s_Rd3+s_Rd4)/12*BI7*BI12*BI5*BI6</f>
        <v/>
      </c>
      <c r="BJ15" s="14">
        <f>(s_Rd3+s_Rd4)/12*BJ7*BJ12*BJ5*BJ6</f>
        <v/>
      </c>
      <c r="BK15" s="14">
        <f>(s_Rd3+s_Rd4)/12*BK7*BK12*BK5*BK6</f>
        <v/>
      </c>
      <c r="BL15" s="14">
        <f>(s_Rd3+s_Rd4)/12*BL7*BL12*BL5*BL6</f>
        <v/>
      </c>
    </row>
    <row r="16">
      <c r="A16" s="9" t="inlineStr">
        <is>
          <t>Ventas centralizadas</t>
        </is>
      </c>
      <c r="D16" s="14">
        <f>(s_Rc1*p_pwin_cen*D13+s_Rc2*p_pwin_cen*p_minsa_occ*D14)/12*D9*D5*D6</f>
        <v/>
      </c>
      <c r="E16" s="14">
        <f>(s_Rc1*p_pwin_cen*E13+s_Rc2*p_pwin_cen*p_minsa_occ*E14)/12*E9*E5*E6</f>
        <v/>
      </c>
      <c r="F16" s="14">
        <f>(s_Rc1*p_pwin_cen*F13+s_Rc2*p_pwin_cen*p_minsa_occ*F14)/12*F9*F5*F6</f>
        <v/>
      </c>
      <c r="G16" s="14">
        <f>(s_Rc1*p_pwin_cen*G13+s_Rc2*p_pwin_cen*p_minsa_occ*G14)/12*G9*G5*G6</f>
        <v/>
      </c>
      <c r="H16" s="14">
        <f>(s_Rc1*p_pwin_cen*H13+s_Rc2*p_pwin_cen*p_minsa_occ*H14)/12*H9*H5*H6</f>
        <v/>
      </c>
      <c r="I16" s="14">
        <f>(s_Rc1*p_pwin_cen*I13+s_Rc2*p_pwin_cen*p_minsa_occ*I14)/12*I9*I5*I6</f>
        <v/>
      </c>
      <c r="J16" s="14">
        <f>(s_Rc1*p_pwin_cen*J13+s_Rc2*p_pwin_cen*p_minsa_occ*J14)/12*J9*J5*J6</f>
        <v/>
      </c>
      <c r="K16" s="14">
        <f>(s_Rc1*p_pwin_cen*K13+s_Rc2*p_pwin_cen*p_minsa_occ*K14)/12*K9*K5*K6</f>
        <v/>
      </c>
      <c r="L16" s="14">
        <f>(s_Rc1*p_pwin_cen*L13+s_Rc2*p_pwin_cen*p_minsa_occ*L14)/12*L9*L5*L6</f>
        <v/>
      </c>
      <c r="M16" s="14">
        <f>(s_Rc1*p_pwin_cen*M13+s_Rc2*p_pwin_cen*p_minsa_occ*M14)/12*M9*M5*M6</f>
        <v/>
      </c>
      <c r="N16" s="14">
        <f>(s_Rc1*p_pwin_cen*N13+s_Rc2*p_pwin_cen*p_minsa_occ*N14)/12*N9*N5*N6</f>
        <v/>
      </c>
      <c r="O16" s="14">
        <f>(s_Rc1*p_pwin_cen*O13+s_Rc2*p_pwin_cen*p_minsa_occ*O14)/12*O9*O5*O6</f>
        <v/>
      </c>
      <c r="P16" s="14">
        <f>(s_Rc1*p_pwin_cen*P13+s_Rc2*p_pwin_cen*p_minsa_occ*P14)/12*P9*P5*P6</f>
        <v/>
      </c>
      <c r="Q16" s="14">
        <f>(s_Rc1*p_pwin_cen*Q13+s_Rc2*p_pwin_cen*p_minsa_occ*Q14)/12*Q9*Q5*Q6</f>
        <v/>
      </c>
      <c r="R16" s="14">
        <f>(s_Rc1*p_pwin_cen*R13+s_Rc2*p_pwin_cen*p_minsa_occ*R14)/12*R9*R5*R6</f>
        <v/>
      </c>
      <c r="S16" s="14">
        <f>(s_Rc1*p_pwin_cen*S13+s_Rc2*p_pwin_cen*p_minsa_occ*S14)/12*S9*S5*S6</f>
        <v/>
      </c>
      <c r="T16" s="14">
        <f>(s_Rc1*p_pwin_cen*T13+s_Rc2*p_pwin_cen*p_minsa_occ*T14)/12*T9*T5*T6</f>
        <v/>
      </c>
      <c r="U16" s="14">
        <f>(s_Rc1*p_pwin_cen*U13+s_Rc2*p_pwin_cen*p_minsa_occ*U14)/12*U9*U5*U6</f>
        <v/>
      </c>
      <c r="V16" s="14">
        <f>(s_Rc1*p_pwin_cen*V13+s_Rc2*p_pwin_cen*p_minsa_occ*V14)/12*V9*V5*V6</f>
        <v/>
      </c>
      <c r="W16" s="14">
        <f>(s_Rc1*p_pwin_cen*W13+s_Rc2*p_pwin_cen*p_minsa_occ*W14)/12*W9*W5*W6</f>
        <v/>
      </c>
      <c r="X16" s="14">
        <f>(s_Rc1*p_pwin_cen*X13+s_Rc2*p_pwin_cen*p_minsa_occ*X14)/12*X9*X5*X6</f>
        <v/>
      </c>
      <c r="Y16" s="14">
        <f>(s_Rc1*p_pwin_cen*Y13+s_Rc2*p_pwin_cen*p_minsa_occ*Y14)/12*Y9*Y5*Y6</f>
        <v/>
      </c>
      <c r="Z16" s="14">
        <f>(s_Rc1*p_pwin_cen*Z13+s_Rc2*p_pwin_cen*p_minsa_occ*Z14)/12*Z9*Z5*Z6</f>
        <v/>
      </c>
      <c r="AA16" s="14">
        <f>(s_Rc1*p_pwin_cen*AA13+s_Rc2*p_pwin_cen*p_minsa_occ*AA14)/12*AA9*AA5*AA6</f>
        <v/>
      </c>
      <c r="AB16" s="14">
        <f>(s_Rc1*p_pwin_cen*AB13+s_Rc2*p_pwin_cen*p_minsa_occ*AB14)/12*AB9*AB5*AB6</f>
        <v/>
      </c>
      <c r="AC16" s="14">
        <f>(s_Rc1*p_pwin_cen*AC13+s_Rc2*p_pwin_cen*p_minsa_occ*AC14)/12*AC9*AC5*AC6</f>
        <v/>
      </c>
      <c r="AD16" s="14">
        <f>(s_Rc1*p_pwin_cen*AD13+s_Rc2*p_pwin_cen*p_minsa_occ*AD14)/12*AD9*AD5*AD6</f>
        <v/>
      </c>
      <c r="AE16" s="14">
        <f>(s_Rc1*p_pwin_cen*AE13+s_Rc2*p_pwin_cen*p_minsa_occ*AE14)/12*AE9*AE5*AE6</f>
        <v/>
      </c>
      <c r="AF16" s="14">
        <f>(s_Rc1*p_pwin_cen*AF13+s_Rc2*p_pwin_cen*p_minsa_occ*AF14)/12*AF9*AF5*AF6</f>
        <v/>
      </c>
      <c r="AG16" s="14">
        <f>(s_Rc1*p_pwin_cen*AG13+s_Rc2*p_pwin_cen*p_minsa_occ*AG14)/12*AG9*AG5*AG6</f>
        <v/>
      </c>
      <c r="AH16" s="14">
        <f>(s_Rc1*p_pwin_cen*AH13+s_Rc2*p_pwin_cen*p_minsa_occ*AH14)/12*AH9*AH5*AH6</f>
        <v/>
      </c>
      <c r="AI16" s="14">
        <f>(s_Rc1*p_pwin_cen*AI13+s_Rc2*p_pwin_cen*p_minsa_occ*AI14)/12*AI9*AI5*AI6</f>
        <v/>
      </c>
      <c r="AJ16" s="14">
        <f>(s_Rc1*p_pwin_cen*AJ13+s_Rc2*p_pwin_cen*p_minsa_occ*AJ14)/12*AJ9*AJ5*AJ6</f>
        <v/>
      </c>
      <c r="AK16" s="14">
        <f>(s_Rc1*p_pwin_cen*AK13+s_Rc2*p_pwin_cen*p_minsa_occ*AK14)/12*AK9*AK5*AK6</f>
        <v/>
      </c>
      <c r="AL16" s="14">
        <f>(s_Rc1*p_pwin_cen*AL13+s_Rc2*p_pwin_cen*p_minsa_occ*AL14)/12*AL9*AL5*AL6</f>
        <v/>
      </c>
      <c r="AM16" s="14">
        <f>(s_Rc1*p_pwin_cen*AM13+s_Rc2*p_pwin_cen*p_minsa_occ*AM14)/12*AM9*AM5*AM6</f>
        <v/>
      </c>
      <c r="AN16" s="14">
        <f>(s_Rc1*p_pwin_cen*AN13+s_Rc2*p_pwin_cen*p_minsa_occ*AN14)/12*AN9*AN5*AN6</f>
        <v/>
      </c>
      <c r="AO16" s="14">
        <f>(s_Rc1*p_pwin_cen*AO13+s_Rc2*p_pwin_cen*p_minsa_occ*AO14)/12*AO9*AO5*AO6</f>
        <v/>
      </c>
      <c r="AP16" s="14">
        <f>(s_Rc1*p_pwin_cen*AP13+s_Rc2*p_pwin_cen*p_minsa_occ*AP14)/12*AP9*AP5*AP6</f>
        <v/>
      </c>
      <c r="AQ16" s="14">
        <f>(s_Rc1*p_pwin_cen*AQ13+s_Rc2*p_pwin_cen*p_minsa_occ*AQ14)/12*AQ9*AQ5*AQ6</f>
        <v/>
      </c>
      <c r="AR16" s="14">
        <f>(s_Rc1*p_pwin_cen*AR13+s_Rc2*p_pwin_cen*p_minsa_occ*AR14)/12*AR9*AR5*AR6</f>
        <v/>
      </c>
      <c r="AS16" s="14">
        <f>(s_Rc1*p_pwin_cen*AS13+s_Rc2*p_pwin_cen*p_minsa_occ*AS14)/12*AS9*AS5*AS6</f>
        <v/>
      </c>
      <c r="AT16" s="14">
        <f>(s_Rc1*p_pwin_cen*AT13+s_Rc2*p_pwin_cen*p_minsa_occ*AT14)/12*AT9*AT5*AT6</f>
        <v/>
      </c>
      <c r="AU16" s="14">
        <f>(s_Rc1*p_pwin_cen*AU13+s_Rc2*p_pwin_cen*p_minsa_occ*AU14)/12*AU9*AU5*AU6</f>
        <v/>
      </c>
      <c r="AV16" s="14">
        <f>(s_Rc1*p_pwin_cen*AV13+s_Rc2*p_pwin_cen*p_minsa_occ*AV14)/12*AV9*AV5*AV6</f>
        <v/>
      </c>
      <c r="AW16" s="14">
        <f>(s_Rc1*p_pwin_cen*AW13+s_Rc2*p_pwin_cen*p_minsa_occ*AW14)/12*AW9*AW5*AW6</f>
        <v/>
      </c>
      <c r="AX16" s="14">
        <f>(s_Rc1*p_pwin_cen*AX13+s_Rc2*p_pwin_cen*p_minsa_occ*AX14)/12*AX9*AX5*AX6</f>
        <v/>
      </c>
      <c r="AY16" s="14">
        <f>(s_Rc1*p_pwin_cen*AY13+s_Rc2*p_pwin_cen*p_minsa_occ*AY14)/12*AY9*AY5*AY6</f>
        <v/>
      </c>
      <c r="AZ16" s="14">
        <f>(s_Rc1*p_pwin_cen*AZ13+s_Rc2*p_pwin_cen*p_minsa_occ*AZ14)/12*AZ9*AZ5*AZ6</f>
        <v/>
      </c>
      <c r="BA16" s="14">
        <f>(s_Rc1*p_pwin_cen*BA13+s_Rc2*p_pwin_cen*p_minsa_occ*BA14)/12*BA9*BA5*BA6</f>
        <v/>
      </c>
      <c r="BB16" s="14">
        <f>(s_Rc1*p_pwin_cen*BB13+s_Rc2*p_pwin_cen*p_minsa_occ*BB14)/12*BB9*BB5*BB6</f>
        <v/>
      </c>
      <c r="BC16" s="14">
        <f>(s_Rc1*p_pwin_cen*BC13+s_Rc2*p_pwin_cen*p_minsa_occ*BC14)/12*BC9*BC5*BC6</f>
        <v/>
      </c>
      <c r="BD16" s="14">
        <f>(s_Rc1*p_pwin_cen*BD13+s_Rc2*p_pwin_cen*p_minsa_occ*BD14)/12*BD9*BD5*BD6</f>
        <v/>
      </c>
      <c r="BE16" s="14">
        <f>(s_Rc1*p_pwin_cen*BE13+s_Rc2*p_pwin_cen*p_minsa_occ*BE14)/12*BE9*BE5*BE6</f>
        <v/>
      </c>
      <c r="BF16" s="14">
        <f>(s_Rc1*p_pwin_cen*BF13+s_Rc2*p_pwin_cen*p_minsa_occ*BF14)/12*BF9*BF5*BF6</f>
        <v/>
      </c>
      <c r="BG16" s="14">
        <f>(s_Rc1*p_pwin_cen*BG13+s_Rc2*p_pwin_cen*p_minsa_occ*BG14)/12*BG9*BG5*BG6</f>
        <v/>
      </c>
      <c r="BH16" s="14">
        <f>(s_Rc1*p_pwin_cen*BH13+s_Rc2*p_pwin_cen*p_minsa_occ*BH14)/12*BH9*BH5*BH6</f>
        <v/>
      </c>
      <c r="BI16" s="14">
        <f>(s_Rc1*p_pwin_cen*BI13+s_Rc2*p_pwin_cen*p_minsa_occ*BI14)/12*BI9*BI5*BI6</f>
        <v/>
      </c>
      <c r="BJ16" s="14">
        <f>(s_Rc1*p_pwin_cen*BJ13+s_Rc2*p_pwin_cen*p_minsa_occ*BJ14)/12*BJ9*BJ5*BJ6</f>
        <v/>
      </c>
      <c r="BK16" s="14">
        <f>(s_Rc1*p_pwin_cen*BK13+s_Rc2*p_pwin_cen*p_minsa_occ*BK14)/12*BK9*BK5*BK6</f>
        <v/>
      </c>
      <c r="BL16" s="14">
        <f>(s_Rc1*p_pwin_cen*BL13+s_Rc2*p_pwin_cen*p_minsa_occ*BL14)/12*BL9*BL5*BL6</f>
        <v/>
      </c>
    </row>
    <row r="17">
      <c r="A17" s="35" t="inlineStr">
        <is>
          <t>VENTAS TOTALES</t>
        </is>
      </c>
      <c r="B17" s="31" t="n"/>
      <c r="C17" s="31" t="n"/>
      <c r="D17" s="36">
        <f>D15+D16</f>
        <v/>
      </c>
      <c r="E17" s="36">
        <f>E15+E16</f>
        <v/>
      </c>
      <c r="F17" s="36">
        <f>F15+F16</f>
        <v/>
      </c>
      <c r="G17" s="36">
        <f>G15+G16</f>
        <v/>
      </c>
      <c r="H17" s="36">
        <f>H15+H16</f>
        <v/>
      </c>
      <c r="I17" s="36">
        <f>I15+I16</f>
        <v/>
      </c>
      <c r="J17" s="36">
        <f>J15+J16</f>
        <v/>
      </c>
      <c r="K17" s="36">
        <f>K15+K16</f>
        <v/>
      </c>
      <c r="L17" s="36">
        <f>L15+L16</f>
        <v/>
      </c>
      <c r="M17" s="36">
        <f>M15+M16</f>
        <v/>
      </c>
      <c r="N17" s="36">
        <f>N15+N16</f>
        <v/>
      </c>
      <c r="O17" s="36">
        <f>O15+O16</f>
        <v/>
      </c>
      <c r="P17" s="36">
        <f>P15+P16</f>
        <v/>
      </c>
      <c r="Q17" s="36">
        <f>Q15+Q16</f>
        <v/>
      </c>
      <c r="R17" s="36">
        <f>R15+R16</f>
        <v/>
      </c>
      <c r="S17" s="36">
        <f>S15+S16</f>
        <v/>
      </c>
      <c r="T17" s="36">
        <f>T15+T16</f>
        <v/>
      </c>
      <c r="U17" s="36">
        <f>U15+U16</f>
        <v/>
      </c>
      <c r="V17" s="36">
        <f>V15+V16</f>
        <v/>
      </c>
      <c r="W17" s="36">
        <f>W15+W16</f>
        <v/>
      </c>
      <c r="X17" s="36">
        <f>X15+X16</f>
        <v/>
      </c>
      <c r="Y17" s="36">
        <f>Y15+Y16</f>
        <v/>
      </c>
      <c r="Z17" s="36">
        <f>Z15+Z16</f>
        <v/>
      </c>
      <c r="AA17" s="36">
        <f>AA15+AA16</f>
        <v/>
      </c>
      <c r="AB17" s="36">
        <f>AB15+AB16</f>
        <v/>
      </c>
      <c r="AC17" s="36">
        <f>AC15+AC16</f>
        <v/>
      </c>
      <c r="AD17" s="36">
        <f>AD15+AD16</f>
        <v/>
      </c>
      <c r="AE17" s="36">
        <f>AE15+AE16</f>
        <v/>
      </c>
      <c r="AF17" s="36">
        <f>AF15+AF16</f>
        <v/>
      </c>
      <c r="AG17" s="36">
        <f>AG15+AG16</f>
        <v/>
      </c>
      <c r="AH17" s="36">
        <f>AH15+AH16</f>
        <v/>
      </c>
      <c r="AI17" s="36">
        <f>AI15+AI16</f>
        <v/>
      </c>
      <c r="AJ17" s="36">
        <f>AJ15+AJ16</f>
        <v/>
      </c>
      <c r="AK17" s="36">
        <f>AK15+AK16</f>
        <v/>
      </c>
      <c r="AL17" s="36">
        <f>AL15+AL16</f>
        <v/>
      </c>
      <c r="AM17" s="36">
        <f>AM15+AM16</f>
        <v/>
      </c>
      <c r="AN17" s="36">
        <f>AN15+AN16</f>
        <v/>
      </c>
      <c r="AO17" s="36">
        <f>AO15+AO16</f>
        <v/>
      </c>
      <c r="AP17" s="36">
        <f>AP15+AP16</f>
        <v/>
      </c>
      <c r="AQ17" s="36">
        <f>AQ15+AQ16</f>
        <v/>
      </c>
      <c r="AR17" s="36">
        <f>AR15+AR16</f>
        <v/>
      </c>
      <c r="AS17" s="36">
        <f>AS15+AS16</f>
        <v/>
      </c>
      <c r="AT17" s="36">
        <f>AT15+AT16</f>
        <v/>
      </c>
      <c r="AU17" s="36">
        <f>AU15+AU16</f>
        <v/>
      </c>
      <c r="AV17" s="36">
        <f>AV15+AV16</f>
        <v/>
      </c>
      <c r="AW17" s="36">
        <f>AW15+AW16</f>
        <v/>
      </c>
      <c r="AX17" s="36">
        <f>AX15+AX16</f>
        <v/>
      </c>
      <c r="AY17" s="36">
        <f>AY15+AY16</f>
        <v/>
      </c>
      <c r="AZ17" s="36">
        <f>AZ15+AZ16</f>
        <v/>
      </c>
      <c r="BA17" s="36">
        <f>BA15+BA16</f>
        <v/>
      </c>
      <c r="BB17" s="36">
        <f>BB15+BB16</f>
        <v/>
      </c>
      <c r="BC17" s="36">
        <f>BC15+BC16</f>
        <v/>
      </c>
      <c r="BD17" s="36">
        <f>BD15+BD16</f>
        <v/>
      </c>
      <c r="BE17" s="36">
        <f>BE15+BE16</f>
        <v/>
      </c>
      <c r="BF17" s="36">
        <f>BF15+BF16</f>
        <v/>
      </c>
      <c r="BG17" s="36">
        <f>BG15+BG16</f>
        <v/>
      </c>
      <c r="BH17" s="36">
        <f>BH15+BH16</f>
        <v/>
      </c>
      <c r="BI17" s="36">
        <f>BI15+BI16</f>
        <v/>
      </c>
      <c r="BJ17" s="36">
        <f>BJ15+BJ16</f>
        <v/>
      </c>
      <c r="BK17" s="36">
        <f>BK15+BK16</f>
        <v/>
      </c>
      <c r="BL17" s="36">
        <f>BL15+BL16</f>
        <v/>
      </c>
    </row>
    <row r="18">
      <c r="A18" s="9" t="inlineStr">
        <is>
          <t>Costo de ventas descentralizado</t>
        </is>
      </c>
      <c r="D18" s="14">
        <f>(s_Rd3k+s_Rd4k)/12*D7*D12*D6</f>
        <v/>
      </c>
      <c r="E18" s="14">
        <f>(s_Rd3k+s_Rd4k)/12*E7*E12*E6</f>
        <v/>
      </c>
      <c r="F18" s="14">
        <f>(s_Rd3k+s_Rd4k)/12*F7*F12*F6</f>
        <v/>
      </c>
      <c r="G18" s="14">
        <f>(s_Rd3k+s_Rd4k)/12*G7*G12*G6</f>
        <v/>
      </c>
      <c r="H18" s="14">
        <f>(s_Rd3k+s_Rd4k)/12*H7*H12*H6</f>
        <v/>
      </c>
      <c r="I18" s="14">
        <f>(s_Rd3k+s_Rd4k)/12*I7*I12*I6</f>
        <v/>
      </c>
      <c r="J18" s="14">
        <f>(s_Rd3k+s_Rd4k)/12*J7*J12*J6</f>
        <v/>
      </c>
      <c r="K18" s="14">
        <f>(s_Rd3k+s_Rd4k)/12*K7*K12*K6</f>
        <v/>
      </c>
      <c r="L18" s="14">
        <f>(s_Rd3k+s_Rd4k)/12*L7*L12*L6</f>
        <v/>
      </c>
      <c r="M18" s="14">
        <f>(s_Rd3k+s_Rd4k)/12*M7*M12*M6</f>
        <v/>
      </c>
      <c r="N18" s="14">
        <f>(s_Rd3k+s_Rd4k)/12*N7*N12*N6</f>
        <v/>
      </c>
      <c r="O18" s="14">
        <f>(s_Rd3k+s_Rd4k)/12*O7*O12*O6</f>
        <v/>
      </c>
      <c r="P18" s="14">
        <f>(s_Rd3k+s_Rd4k)/12*P7*P12*P6</f>
        <v/>
      </c>
      <c r="Q18" s="14">
        <f>(s_Rd3k+s_Rd4k)/12*Q7*Q12*Q6</f>
        <v/>
      </c>
      <c r="R18" s="14">
        <f>(s_Rd3k+s_Rd4k)/12*R7*R12*R6</f>
        <v/>
      </c>
      <c r="S18" s="14">
        <f>(s_Rd3k+s_Rd4k)/12*S7*S12*S6</f>
        <v/>
      </c>
      <c r="T18" s="14">
        <f>(s_Rd3k+s_Rd4k)/12*T7*T12*T6</f>
        <v/>
      </c>
      <c r="U18" s="14">
        <f>(s_Rd3k+s_Rd4k)/12*U7*U12*U6</f>
        <v/>
      </c>
      <c r="V18" s="14">
        <f>(s_Rd3k+s_Rd4k)/12*V7*V12*V6</f>
        <v/>
      </c>
      <c r="W18" s="14">
        <f>(s_Rd3k+s_Rd4k)/12*W7*W12*W6</f>
        <v/>
      </c>
      <c r="X18" s="14">
        <f>(s_Rd3k+s_Rd4k)/12*X7*X12*X6</f>
        <v/>
      </c>
      <c r="Y18" s="14">
        <f>(s_Rd3k+s_Rd4k)/12*Y7*Y12*Y6</f>
        <v/>
      </c>
      <c r="Z18" s="14">
        <f>(s_Rd3k+s_Rd4k)/12*Z7*Z12*Z6</f>
        <v/>
      </c>
      <c r="AA18" s="14">
        <f>(s_Rd3k+s_Rd4k)/12*AA7*AA12*AA6</f>
        <v/>
      </c>
      <c r="AB18" s="14">
        <f>(s_Rd3k+s_Rd4k)/12*AB7*AB12*AB6</f>
        <v/>
      </c>
      <c r="AC18" s="14">
        <f>(s_Rd3k+s_Rd4k)/12*AC7*AC12*AC6</f>
        <v/>
      </c>
      <c r="AD18" s="14">
        <f>(s_Rd3k+s_Rd4k)/12*AD7*AD12*AD6</f>
        <v/>
      </c>
      <c r="AE18" s="14">
        <f>(s_Rd3k+s_Rd4k)/12*AE7*AE12*AE6</f>
        <v/>
      </c>
      <c r="AF18" s="14">
        <f>(s_Rd3k+s_Rd4k)/12*AF7*AF12*AF6</f>
        <v/>
      </c>
      <c r="AG18" s="14">
        <f>(s_Rd3k+s_Rd4k)/12*AG7*AG12*AG6</f>
        <v/>
      </c>
      <c r="AH18" s="14">
        <f>(s_Rd3k+s_Rd4k)/12*AH7*AH12*AH6</f>
        <v/>
      </c>
      <c r="AI18" s="14">
        <f>(s_Rd3k+s_Rd4k)/12*AI7*AI12*AI6</f>
        <v/>
      </c>
      <c r="AJ18" s="14">
        <f>(s_Rd3k+s_Rd4k)/12*AJ7*AJ12*AJ6</f>
        <v/>
      </c>
      <c r="AK18" s="14">
        <f>(s_Rd3k+s_Rd4k)/12*AK7*AK12*AK6</f>
        <v/>
      </c>
      <c r="AL18" s="14">
        <f>(s_Rd3k+s_Rd4k)/12*AL7*AL12*AL6</f>
        <v/>
      </c>
      <c r="AM18" s="14">
        <f>(s_Rd3k+s_Rd4k)/12*AM7*AM12*AM6</f>
        <v/>
      </c>
      <c r="AN18" s="14">
        <f>(s_Rd3k+s_Rd4k)/12*AN7*AN12*AN6</f>
        <v/>
      </c>
      <c r="AO18" s="14">
        <f>(s_Rd3k+s_Rd4k)/12*AO7*AO12*AO6</f>
        <v/>
      </c>
      <c r="AP18" s="14">
        <f>(s_Rd3k+s_Rd4k)/12*AP7*AP12*AP6</f>
        <v/>
      </c>
      <c r="AQ18" s="14">
        <f>(s_Rd3k+s_Rd4k)/12*AQ7*AQ12*AQ6</f>
        <v/>
      </c>
      <c r="AR18" s="14">
        <f>(s_Rd3k+s_Rd4k)/12*AR7*AR12*AR6</f>
        <v/>
      </c>
      <c r="AS18" s="14">
        <f>(s_Rd3k+s_Rd4k)/12*AS7*AS12*AS6</f>
        <v/>
      </c>
      <c r="AT18" s="14">
        <f>(s_Rd3k+s_Rd4k)/12*AT7*AT12*AT6</f>
        <v/>
      </c>
      <c r="AU18" s="14">
        <f>(s_Rd3k+s_Rd4k)/12*AU7*AU12*AU6</f>
        <v/>
      </c>
      <c r="AV18" s="14">
        <f>(s_Rd3k+s_Rd4k)/12*AV7*AV12*AV6</f>
        <v/>
      </c>
      <c r="AW18" s="14">
        <f>(s_Rd3k+s_Rd4k)/12*AW7*AW12*AW6</f>
        <v/>
      </c>
      <c r="AX18" s="14">
        <f>(s_Rd3k+s_Rd4k)/12*AX7*AX12*AX6</f>
        <v/>
      </c>
      <c r="AY18" s="14">
        <f>(s_Rd3k+s_Rd4k)/12*AY7*AY12*AY6</f>
        <v/>
      </c>
      <c r="AZ18" s="14">
        <f>(s_Rd3k+s_Rd4k)/12*AZ7*AZ12*AZ6</f>
        <v/>
      </c>
      <c r="BA18" s="14">
        <f>(s_Rd3k+s_Rd4k)/12*BA7*BA12*BA6</f>
        <v/>
      </c>
      <c r="BB18" s="14">
        <f>(s_Rd3k+s_Rd4k)/12*BB7*BB12*BB6</f>
        <v/>
      </c>
      <c r="BC18" s="14">
        <f>(s_Rd3k+s_Rd4k)/12*BC7*BC12*BC6</f>
        <v/>
      </c>
      <c r="BD18" s="14">
        <f>(s_Rd3k+s_Rd4k)/12*BD7*BD12*BD6</f>
        <v/>
      </c>
      <c r="BE18" s="14">
        <f>(s_Rd3k+s_Rd4k)/12*BE7*BE12*BE6</f>
        <v/>
      </c>
      <c r="BF18" s="14">
        <f>(s_Rd3k+s_Rd4k)/12*BF7*BF12*BF6</f>
        <v/>
      </c>
      <c r="BG18" s="14">
        <f>(s_Rd3k+s_Rd4k)/12*BG7*BG12*BG6</f>
        <v/>
      </c>
      <c r="BH18" s="14">
        <f>(s_Rd3k+s_Rd4k)/12*BH7*BH12*BH6</f>
        <v/>
      </c>
      <c r="BI18" s="14">
        <f>(s_Rd3k+s_Rd4k)/12*BI7*BI12*BI6</f>
        <v/>
      </c>
      <c r="BJ18" s="14">
        <f>(s_Rd3k+s_Rd4k)/12*BJ7*BJ12*BJ6</f>
        <v/>
      </c>
      <c r="BK18" s="14">
        <f>(s_Rd3k+s_Rd4k)/12*BK7*BK12*BK6</f>
        <v/>
      </c>
      <c r="BL18" s="14">
        <f>(s_Rd3k+s_Rd4k)/12*BL7*BL12*BL6</f>
        <v/>
      </c>
    </row>
    <row r="19">
      <c r="A19" s="9" t="inlineStr">
        <is>
          <t>Costo de ventas centralizado</t>
        </is>
      </c>
      <c r="D19" s="14">
        <f>(s_Rc1k*p_pwin_cen*D13+s_Rc2k*p_pwin_cen*p_minsa_occ*D14)/12*D9*D6</f>
        <v/>
      </c>
      <c r="E19" s="14">
        <f>(s_Rc1k*p_pwin_cen*E13+s_Rc2k*p_pwin_cen*p_minsa_occ*E14)/12*E9*E6</f>
        <v/>
      </c>
      <c r="F19" s="14">
        <f>(s_Rc1k*p_pwin_cen*F13+s_Rc2k*p_pwin_cen*p_minsa_occ*F14)/12*F9*F6</f>
        <v/>
      </c>
      <c r="G19" s="14">
        <f>(s_Rc1k*p_pwin_cen*G13+s_Rc2k*p_pwin_cen*p_minsa_occ*G14)/12*G9*G6</f>
        <v/>
      </c>
      <c r="H19" s="14">
        <f>(s_Rc1k*p_pwin_cen*H13+s_Rc2k*p_pwin_cen*p_minsa_occ*H14)/12*H9*H6</f>
        <v/>
      </c>
      <c r="I19" s="14">
        <f>(s_Rc1k*p_pwin_cen*I13+s_Rc2k*p_pwin_cen*p_minsa_occ*I14)/12*I9*I6</f>
        <v/>
      </c>
      <c r="J19" s="14">
        <f>(s_Rc1k*p_pwin_cen*J13+s_Rc2k*p_pwin_cen*p_minsa_occ*J14)/12*J9*J6</f>
        <v/>
      </c>
      <c r="K19" s="14">
        <f>(s_Rc1k*p_pwin_cen*K13+s_Rc2k*p_pwin_cen*p_minsa_occ*K14)/12*K9*K6</f>
        <v/>
      </c>
      <c r="L19" s="14">
        <f>(s_Rc1k*p_pwin_cen*L13+s_Rc2k*p_pwin_cen*p_minsa_occ*L14)/12*L9*L6</f>
        <v/>
      </c>
      <c r="M19" s="14">
        <f>(s_Rc1k*p_pwin_cen*M13+s_Rc2k*p_pwin_cen*p_minsa_occ*M14)/12*M9*M6</f>
        <v/>
      </c>
      <c r="N19" s="14">
        <f>(s_Rc1k*p_pwin_cen*N13+s_Rc2k*p_pwin_cen*p_minsa_occ*N14)/12*N9*N6</f>
        <v/>
      </c>
      <c r="O19" s="14">
        <f>(s_Rc1k*p_pwin_cen*O13+s_Rc2k*p_pwin_cen*p_minsa_occ*O14)/12*O9*O6</f>
        <v/>
      </c>
      <c r="P19" s="14">
        <f>(s_Rc1k*p_pwin_cen*P13+s_Rc2k*p_pwin_cen*p_minsa_occ*P14)/12*P9*P6</f>
        <v/>
      </c>
      <c r="Q19" s="14">
        <f>(s_Rc1k*p_pwin_cen*Q13+s_Rc2k*p_pwin_cen*p_minsa_occ*Q14)/12*Q9*Q6</f>
        <v/>
      </c>
      <c r="R19" s="14">
        <f>(s_Rc1k*p_pwin_cen*R13+s_Rc2k*p_pwin_cen*p_minsa_occ*R14)/12*R9*R6</f>
        <v/>
      </c>
      <c r="S19" s="14">
        <f>(s_Rc1k*p_pwin_cen*S13+s_Rc2k*p_pwin_cen*p_minsa_occ*S14)/12*S9*S6</f>
        <v/>
      </c>
      <c r="T19" s="14">
        <f>(s_Rc1k*p_pwin_cen*T13+s_Rc2k*p_pwin_cen*p_minsa_occ*T14)/12*T9*T6</f>
        <v/>
      </c>
      <c r="U19" s="14">
        <f>(s_Rc1k*p_pwin_cen*U13+s_Rc2k*p_pwin_cen*p_minsa_occ*U14)/12*U9*U6</f>
        <v/>
      </c>
      <c r="V19" s="14">
        <f>(s_Rc1k*p_pwin_cen*V13+s_Rc2k*p_pwin_cen*p_minsa_occ*V14)/12*V9*V6</f>
        <v/>
      </c>
      <c r="W19" s="14">
        <f>(s_Rc1k*p_pwin_cen*W13+s_Rc2k*p_pwin_cen*p_minsa_occ*W14)/12*W9*W6</f>
        <v/>
      </c>
      <c r="X19" s="14">
        <f>(s_Rc1k*p_pwin_cen*X13+s_Rc2k*p_pwin_cen*p_minsa_occ*X14)/12*X9*X6</f>
        <v/>
      </c>
      <c r="Y19" s="14">
        <f>(s_Rc1k*p_pwin_cen*Y13+s_Rc2k*p_pwin_cen*p_minsa_occ*Y14)/12*Y9*Y6</f>
        <v/>
      </c>
      <c r="Z19" s="14">
        <f>(s_Rc1k*p_pwin_cen*Z13+s_Rc2k*p_pwin_cen*p_minsa_occ*Z14)/12*Z9*Z6</f>
        <v/>
      </c>
      <c r="AA19" s="14">
        <f>(s_Rc1k*p_pwin_cen*AA13+s_Rc2k*p_pwin_cen*p_minsa_occ*AA14)/12*AA9*AA6</f>
        <v/>
      </c>
      <c r="AB19" s="14">
        <f>(s_Rc1k*p_pwin_cen*AB13+s_Rc2k*p_pwin_cen*p_minsa_occ*AB14)/12*AB9*AB6</f>
        <v/>
      </c>
      <c r="AC19" s="14">
        <f>(s_Rc1k*p_pwin_cen*AC13+s_Rc2k*p_pwin_cen*p_minsa_occ*AC14)/12*AC9*AC6</f>
        <v/>
      </c>
      <c r="AD19" s="14">
        <f>(s_Rc1k*p_pwin_cen*AD13+s_Rc2k*p_pwin_cen*p_minsa_occ*AD14)/12*AD9*AD6</f>
        <v/>
      </c>
      <c r="AE19" s="14">
        <f>(s_Rc1k*p_pwin_cen*AE13+s_Rc2k*p_pwin_cen*p_minsa_occ*AE14)/12*AE9*AE6</f>
        <v/>
      </c>
      <c r="AF19" s="14">
        <f>(s_Rc1k*p_pwin_cen*AF13+s_Rc2k*p_pwin_cen*p_minsa_occ*AF14)/12*AF9*AF6</f>
        <v/>
      </c>
      <c r="AG19" s="14">
        <f>(s_Rc1k*p_pwin_cen*AG13+s_Rc2k*p_pwin_cen*p_minsa_occ*AG14)/12*AG9*AG6</f>
        <v/>
      </c>
      <c r="AH19" s="14">
        <f>(s_Rc1k*p_pwin_cen*AH13+s_Rc2k*p_pwin_cen*p_minsa_occ*AH14)/12*AH9*AH6</f>
        <v/>
      </c>
      <c r="AI19" s="14">
        <f>(s_Rc1k*p_pwin_cen*AI13+s_Rc2k*p_pwin_cen*p_minsa_occ*AI14)/12*AI9*AI6</f>
        <v/>
      </c>
      <c r="AJ19" s="14">
        <f>(s_Rc1k*p_pwin_cen*AJ13+s_Rc2k*p_pwin_cen*p_minsa_occ*AJ14)/12*AJ9*AJ6</f>
        <v/>
      </c>
      <c r="AK19" s="14">
        <f>(s_Rc1k*p_pwin_cen*AK13+s_Rc2k*p_pwin_cen*p_minsa_occ*AK14)/12*AK9*AK6</f>
        <v/>
      </c>
      <c r="AL19" s="14">
        <f>(s_Rc1k*p_pwin_cen*AL13+s_Rc2k*p_pwin_cen*p_minsa_occ*AL14)/12*AL9*AL6</f>
        <v/>
      </c>
      <c r="AM19" s="14">
        <f>(s_Rc1k*p_pwin_cen*AM13+s_Rc2k*p_pwin_cen*p_minsa_occ*AM14)/12*AM9*AM6</f>
        <v/>
      </c>
      <c r="AN19" s="14">
        <f>(s_Rc1k*p_pwin_cen*AN13+s_Rc2k*p_pwin_cen*p_minsa_occ*AN14)/12*AN9*AN6</f>
        <v/>
      </c>
      <c r="AO19" s="14">
        <f>(s_Rc1k*p_pwin_cen*AO13+s_Rc2k*p_pwin_cen*p_minsa_occ*AO14)/12*AO9*AO6</f>
        <v/>
      </c>
      <c r="AP19" s="14">
        <f>(s_Rc1k*p_pwin_cen*AP13+s_Rc2k*p_pwin_cen*p_minsa_occ*AP14)/12*AP9*AP6</f>
        <v/>
      </c>
      <c r="AQ19" s="14">
        <f>(s_Rc1k*p_pwin_cen*AQ13+s_Rc2k*p_pwin_cen*p_minsa_occ*AQ14)/12*AQ9*AQ6</f>
        <v/>
      </c>
      <c r="AR19" s="14">
        <f>(s_Rc1k*p_pwin_cen*AR13+s_Rc2k*p_pwin_cen*p_minsa_occ*AR14)/12*AR9*AR6</f>
        <v/>
      </c>
      <c r="AS19" s="14">
        <f>(s_Rc1k*p_pwin_cen*AS13+s_Rc2k*p_pwin_cen*p_minsa_occ*AS14)/12*AS9*AS6</f>
        <v/>
      </c>
      <c r="AT19" s="14">
        <f>(s_Rc1k*p_pwin_cen*AT13+s_Rc2k*p_pwin_cen*p_minsa_occ*AT14)/12*AT9*AT6</f>
        <v/>
      </c>
      <c r="AU19" s="14">
        <f>(s_Rc1k*p_pwin_cen*AU13+s_Rc2k*p_pwin_cen*p_minsa_occ*AU14)/12*AU9*AU6</f>
        <v/>
      </c>
      <c r="AV19" s="14">
        <f>(s_Rc1k*p_pwin_cen*AV13+s_Rc2k*p_pwin_cen*p_minsa_occ*AV14)/12*AV9*AV6</f>
        <v/>
      </c>
      <c r="AW19" s="14">
        <f>(s_Rc1k*p_pwin_cen*AW13+s_Rc2k*p_pwin_cen*p_minsa_occ*AW14)/12*AW9*AW6</f>
        <v/>
      </c>
      <c r="AX19" s="14">
        <f>(s_Rc1k*p_pwin_cen*AX13+s_Rc2k*p_pwin_cen*p_minsa_occ*AX14)/12*AX9*AX6</f>
        <v/>
      </c>
      <c r="AY19" s="14">
        <f>(s_Rc1k*p_pwin_cen*AY13+s_Rc2k*p_pwin_cen*p_minsa_occ*AY14)/12*AY9*AY6</f>
        <v/>
      </c>
      <c r="AZ19" s="14">
        <f>(s_Rc1k*p_pwin_cen*AZ13+s_Rc2k*p_pwin_cen*p_minsa_occ*AZ14)/12*AZ9*AZ6</f>
        <v/>
      </c>
      <c r="BA19" s="14">
        <f>(s_Rc1k*p_pwin_cen*BA13+s_Rc2k*p_pwin_cen*p_minsa_occ*BA14)/12*BA9*BA6</f>
        <v/>
      </c>
      <c r="BB19" s="14">
        <f>(s_Rc1k*p_pwin_cen*BB13+s_Rc2k*p_pwin_cen*p_minsa_occ*BB14)/12*BB9*BB6</f>
        <v/>
      </c>
      <c r="BC19" s="14">
        <f>(s_Rc1k*p_pwin_cen*BC13+s_Rc2k*p_pwin_cen*p_minsa_occ*BC14)/12*BC9*BC6</f>
        <v/>
      </c>
      <c r="BD19" s="14">
        <f>(s_Rc1k*p_pwin_cen*BD13+s_Rc2k*p_pwin_cen*p_minsa_occ*BD14)/12*BD9*BD6</f>
        <v/>
      </c>
      <c r="BE19" s="14">
        <f>(s_Rc1k*p_pwin_cen*BE13+s_Rc2k*p_pwin_cen*p_minsa_occ*BE14)/12*BE9*BE6</f>
        <v/>
      </c>
      <c r="BF19" s="14">
        <f>(s_Rc1k*p_pwin_cen*BF13+s_Rc2k*p_pwin_cen*p_minsa_occ*BF14)/12*BF9*BF6</f>
        <v/>
      </c>
      <c r="BG19" s="14">
        <f>(s_Rc1k*p_pwin_cen*BG13+s_Rc2k*p_pwin_cen*p_minsa_occ*BG14)/12*BG9*BG6</f>
        <v/>
      </c>
      <c r="BH19" s="14">
        <f>(s_Rc1k*p_pwin_cen*BH13+s_Rc2k*p_pwin_cen*p_minsa_occ*BH14)/12*BH9*BH6</f>
        <v/>
      </c>
      <c r="BI19" s="14">
        <f>(s_Rc1k*p_pwin_cen*BI13+s_Rc2k*p_pwin_cen*p_minsa_occ*BI14)/12*BI9*BI6</f>
        <v/>
      </c>
      <c r="BJ19" s="14">
        <f>(s_Rc1k*p_pwin_cen*BJ13+s_Rc2k*p_pwin_cen*p_minsa_occ*BJ14)/12*BJ9*BJ6</f>
        <v/>
      </c>
      <c r="BK19" s="14">
        <f>(s_Rc1k*p_pwin_cen*BK13+s_Rc2k*p_pwin_cen*p_minsa_occ*BK14)/12*BK9*BK6</f>
        <v/>
      </c>
      <c r="BL19" s="14">
        <f>(s_Rc1k*p_pwin_cen*BL13+s_Rc2k*p_pwin_cen*p_minsa_occ*BL14)/12*BL9*BL6</f>
        <v/>
      </c>
    </row>
    <row r="20">
      <c r="A20" s="35" t="inlineStr">
        <is>
          <t>COSTO DE VENTAS</t>
        </is>
      </c>
      <c r="B20" s="31" t="n"/>
      <c r="C20" s="31" t="n"/>
      <c r="D20" s="36">
        <f>D18+D19</f>
        <v/>
      </c>
      <c r="E20" s="36">
        <f>E18+E19</f>
        <v/>
      </c>
      <c r="F20" s="36">
        <f>F18+F19</f>
        <v/>
      </c>
      <c r="G20" s="36">
        <f>G18+G19</f>
        <v/>
      </c>
      <c r="H20" s="36">
        <f>H18+H19</f>
        <v/>
      </c>
      <c r="I20" s="36">
        <f>I18+I19</f>
        <v/>
      </c>
      <c r="J20" s="36">
        <f>J18+J19</f>
        <v/>
      </c>
      <c r="K20" s="36">
        <f>K18+K19</f>
        <v/>
      </c>
      <c r="L20" s="36">
        <f>L18+L19</f>
        <v/>
      </c>
      <c r="M20" s="36">
        <f>M18+M19</f>
        <v/>
      </c>
      <c r="N20" s="36">
        <f>N18+N19</f>
        <v/>
      </c>
      <c r="O20" s="36">
        <f>O18+O19</f>
        <v/>
      </c>
      <c r="P20" s="36">
        <f>P18+P19</f>
        <v/>
      </c>
      <c r="Q20" s="36">
        <f>Q18+Q19</f>
        <v/>
      </c>
      <c r="R20" s="36">
        <f>R18+R19</f>
        <v/>
      </c>
      <c r="S20" s="36">
        <f>S18+S19</f>
        <v/>
      </c>
      <c r="T20" s="36">
        <f>T18+T19</f>
        <v/>
      </c>
      <c r="U20" s="36">
        <f>U18+U19</f>
        <v/>
      </c>
      <c r="V20" s="36">
        <f>V18+V19</f>
        <v/>
      </c>
      <c r="W20" s="36">
        <f>W18+W19</f>
        <v/>
      </c>
      <c r="X20" s="36">
        <f>X18+X19</f>
        <v/>
      </c>
      <c r="Y20" s="36">
        <f>Y18+Y19</f>
        <v/>
      </c>
      <c r="Z20" s="36">
        <f>Z18+Z19</f>
        <v/>
      </c>
      <c r="AA20" s="36">
        <f>AA18+AA19</f>
        <v/>
      </c>
      <c r="AB20" s="36">
        <f>AB18+AB19</f>
        <v/>
      </c>
      <c r="AC20" s="36">
        <f>AC18+AC19</f>
        <v/>
      </c>
      <c r="AD20" s="36">
        <f>AD18+AD19</f>
        <v/>
      </c>
      <c r="AE20" s="36">
        <f>AE18+AE19</f>
        <v/>
      </c>
      <c r="AF20" s="36">
        <f>AF18+AF19</f>
        <v/>
      </c>
      <c r="AG20" s="36">
        <f>AG18+AG19</f>
        <v/>
      </c>
      <c r="AH20" s="36">
        <f>AH18+AH19</f>
        <v/>
      </c>
      <c r="AI20" s="36">
        <f>AI18+AI19</f>
        <v/>
      </c>
      <c r="AJ20" s="36">
        <f>AJ18+AJ19</f>
        <v/>
      </c>
      <c r="AK20" s="36">
        <f>AK18+AK19</f>
        <v/>
      </c>
      <c r="AL20" s="36">
        <f>AL18+AL19</f>
        <v/>
      </c>
      <c r="AM20" s="36">
        <f>AM18+AM19</f>
        <v/>
      </c>
      <c r="AN20" s="36">
        <f>AN18+AN19</f>
        <v/>
      </c>
      <c r="AO20" s="36">
        <f>AO18+AO19</f>
        <v/>
      </c>
      <c r="AP20" s="36">
        <f>AP18+AP19</f>
        <v/>
      </c>
      <c r="AQ20" s="36">
        <f>AQ18+AQ19</f>
        <v/>
      </c>
      <c r="AR20" s="36">
        <f>AR18+AR19</f>
        <v/>
      </c>
      <c r="AS20" s="36">
        <f>AS18+AS19</f>
        <v/>
      </c>
      <c r="AT20" s="36">
        <f>AT18+AT19</f>
        <v/>
      </c>
      <c r="AU20" s="36">
        <f>AU18+AU19</f>
        <v/>
      </c>
      <c r="AV20" s="36">
        <f>AV18+AV19</f>
        <v/>
      </c>
      <c r="AW20" s="36">
        <f>AW18+AW19</f>
        <v/>
      </c>
      <c r="AX20" s="36">
        <f>AX18+AX19</f>
        <v/>
      </c>
      <c r="AY20" s="36">
        <f>AY18+AY19</f>
        <v/>
      </c>
      <c r="AZ20" s="36">
        <f>AZ18+AZ19</f>
        <v/>
      </c>
      <c r="BA20" s="36">
        <f>BA18+BA19</f>
        <v/>
      </c>
      <c r="BB20" s="36">
        <f>BB18+BB19</f>
        <v/>
      </c>
      <c r="BC20" s="36">
        <f>BC18+BC19</f>
        <v/>
      </c>
      <c r="BD20" s="36">
        <f>BD18+BD19</f>
        <v/>
      </c>
      <c r="BE20" s="36">
        <f>BE18+BE19</f>
        <v/>
      </c>
      <c r="BF20" s="36">
        <f>BF18+BF19</f>
        <v/>
      </c>
      <c r="BG20" s="36">
        <f>BG18+BG19</f>
        <v/>
      </c>
      <c r="BH20" s="36">
        <f>BH18+BH19</f>
        <v/>
      </c>
      <c r="BI20" s="36">
        <f>BI18+BI19</f>
        <v/>
      </c>
      <c r="BJ20" s="36">
        <f>BJ18+BJ19</f>
        <v/>
      </c>
      <c r="BK20" s="36">
        <f>BK18+BK19</f>
        <v/>
      </c>
      <c r="BL20" s="36">
        <f>BL18+BL19</f>
        <v/>
      </c>
    </row>
    <row r="21">
      <c r="A21" s="9" t="inlineStr">
        <is>
          <t>Inventario objetivo al cierre (costo)</t>
        </is>
      </c>
      <c r="C21" s="14" t="n">
        <v>0</v>
      </c>
      <c r="D21" s="14">
        <f>IF(AND(D$3&gt;=c_first_dec,D$3&lt;=ROUND(p_stop_det,0)),(s_Rd3k+s_Rd4k)/12*E7*E12*p_cover_m+(s_Rc1k*p_pwin_cen*E13+s_Rc2k*p_pwin_cen*p_minsa_occ*E14)/12*E9*p_cen_stock_m,0)</f>
        <v/>
      </c>
      <c r="E21" s="14">
        <f>IF(AND(E$3&gt;=c_first_dec,E$3&lt;=ROUND(p_stop_det,0)),(s_Rd3k+s_Rd4k)/12*F7*F12*p_cover_m+(s_Rc1k*p_pwin_cen*F13+s_Rc2k*p_pwin_cen*p_minsa_occ*F14)/12*F9*p_cen_stock_m,0)</f>
        <v/>
      </c>
      <c r="F21" s="14">
        <f>IF(AND(F$3&gt;=c_first_dec,F$3&lt;=ROUND(p_stop_det,0)),(s_Rd3k+s_Rd4k)/12*G7*G12*p_cover_m+(s_Rc1k*p_pwin_cen*G13+s_Rc2k*p_pwin_cen*p_minsa_occ*G14)/12*G9*p_cen_stock_m,0)</f>
        <v/>
      </c>
      <c r="G21" s="14">
        <f>IF(AND(G$3&gt;=c_first_dec,G$3&lt;=ROUND(p_stop_det,0)),(s_Rd3k+s_Rd4k)/12*H7*H12*p_cover_m+(s_Rc1k*p_pwin_cen*H13+s_Rc2k*p_pwin_cen*p_minsa_occ*H14)/12*H9*p_cen_stock_m,0)</f>
        <v/>
      </c>
      <c r="H21" s="14">
        <f>IF(AND(H$3&gt;=c_first_dec,H$3&lt;=ROUND(p_stop_det,0)),(s_Rd3k+s_Rd4k)/12*I7*I12*p_cover_m+(s_Rc1k*p_pwin_cen*I13+s_Rc2k*p_pwin_cen*p_minsa_occ*I14)/12*I9*p_cen_stock_m,0)</f>
        <v/>
      </c>
      <c r="I21" s="14">
        <f>IF(AND(I$3&gt;=c_first_dec,I$3&lt;=ROUND(p_stop_det,0)),(s_Rd3k+s_Rd4k)/12*J7*J12*p_cover_m+(s_Rc1k*p_pwin_cen*J13+s_Rc2k*p_pwin_cen*p_minsa_occ*J14)/12*J9*p_cen_stock_m,0)</f>
        <v/>
      </c>
      <c r="J21" s="14">
        <f>IF(AND(J$3&gt;=c_first_dec,J$3&lt;=ROUND(p_stop_det,0)),(s_Rd3k+s_Rd4k)/12*K7*K12*p_cover_m+(s_Rc1k*p_pwin_cen*K13+s_Rc2k*p_pwin_cen*p_minsa_occ*K14)/12*K9*p_cen_stock_m,0)</f>
        <v/>
      </c>
      <c r="K21" s="14">
        <f>IF(AND(K$3&gt;=c_first_dec,K$3&lt;=ROUND(p_stop_det,0)),(s_Rd3k+s_Rd4k)/12*L7*L12*p_cover_m+(s_Rc1k*p_pwin_cen*L13+s_Rc2k*p_pwin_cen*p_minsa_occ*L14)/12*L9*p_cen_stock_m,0)</f>
        <v/>
      </c>
      <c r="L21" s="14">
        <f>IF(AND(L$3&gt;=c_first_dec,L$3&lt;=ROUND(p_stop_det,0)),(s_Rd3k+s_Rd4k)/12*M7*M12*p_cover_m+(s_Rc1k*p_pwin_cen*M13+s_Rc2k*p_pwin_cen*p_minsa_occ*M14)/12*M9*p_cen_stock_m,0)</f>
        <v/>
      </c>
      <c r="M21" s="14">
        <f>IF(AND(M$3&gt;=c_first_dec,M$3&lt;=ROUND(p_stop_det,0)),(s_Rd3k+s_Rd4k)/12*N7*N12*p_cover_m+(s_Rc1k*p_pwin_cen*N13+s_Rc2k*p_pwin_cen*p_minsa_occ*N14)/12*N9*p_cen_stock_m,0)</f>
        <v/>
      </c>
      <c r="N21" s="14">
        <f>IF(AND(N$3&gt;=c_first_dec,N$3&lt;=ROUND(p_stop_det,0)),(s_Rd3k+s_Rd4k)/12*O7*O12*p_cover_m+(s_Rc1k*p_pwin_cen*O13+s_Rc2k*p_pwin_cen*p_minsa_occ*O14)/12*O9*p_cen_stock_m,0)</f>
        <v/>
      </c>
      <c r="O21" s="14">
        <f>IF(AND(O$3&gt;=c_first_dec,O$3&lt;=ROUND(p_stop_det,0)),(s_Rd3k+s_Rd4k)/12*P7*P12*p_cover_m+(s_Rc1k*p_pwin_cen*P13+s_Rc2k*p_pwin_cen*p_minsa_occ*P14)/12*P9*p_cen_stock_m,0)</f>
        <v/>
      </c>
      <c r="P21" s="14">
        <f>IF(AND(P$3&gt;=c_first_dec,P$3&lt;=ROUND(p_stop_det,0)),(s_Rd3k+s_Rd4k)/12*Q7*Q12*p_cover_m+(s_Rc1k*p_pwin_cen*Q13+s_Rc2k*p_pwin_cen*p_minsa_occ*Q14)/12*Q9*p_cen_stock_m,0)</f>
        <v/>
      </c>
      <c r="Q21" s="14">
        <f>IF(AND(Q$3&gt;=c_first_dec,Q$3&lt;=ROUND(p_stop_det,0)),(s_Rd3k+s_Rd4k)/12*R7*R12*p_cover_m+(s_Rc1k*p_pwin_cen*R13+s_Rc2k*p_pwin_cen*p_minsa_occ*R14)/12*R9*p_cen_stock_m,0)</f>
        <v/>
      </c>
      <c r="R21" s="14">
        <f>IF(AND(R$3&gt;=c_first_dec,R$3&lt;=ROUND(p_stop_det,0)),(s_Rd3k+s_Rd4k)/12*S7*S12*p_cover_m+(s_Rc1k*p_pwin_cen*S13+s_Rc2k*p_pwin_cen*p_minsa_occ*S14)/12*S9*p_cen_stock_m,0)</f>
        <v/>
      </c>
      <c r="S21" s="14">
        <f>IF(AND(S$3&gt;=c_first_dec,S$3&lt;=ROUND(p_stop_det,0)),(s_Rd3k+s_Rd4k)/12*T7*T12*p_cover_m+(s_Rc1k*p_pwin_cen*T13+s_Rc2k*p_pwin_cen*p_minsa_occ*T14)/12*T9*p_cen_stock_m,0)</f>
        <v/>
      </c>
      <c r="T21" s="14">
        <f>IF(AND(T$3&gt;=c_first_dec,T$3&lt;=ROUND(p_stop_det,0)),(s_Rd3k+s_Rd4k)/12*U7*U12*p_cover_m+(s_Rc1k*p_pwin_cen*U13+s_Rc2k*p_pwin_cen*p_minsa_occ*U14)/12*U9*p_cen_stock_m,0)</f>
        <v/>
      </c>
      <c r="U21" s="14">
        <f>IF(AND(U$3&gt;=c_first_dec,U$3&lt;=ROUND(p_stop_det,0)),(s_Rd3k+s_Rd4k)/12*V7*V12*p_cover_m+(s_Rc1k*p_pwin_cen*V13+s_Rc2k*p_pwin_cen*p_minsa_occ*V14)/12*V9*p_cen_stock_m,0)</f>
        <v/>
      </c>
      <c r="V21" s="14">
        <f>IF(AND(V$3&gt;=c_first_dec,V$3&lt;=ROUND(p_stop_det,0)),(s_Rd3k+s_Rd4k)/12*W7*W12*p_cover_m+(s_Rc1k*p_pwin_cen*W13+s_Rc2k*p_pwin_cen*p_minsa_occ*W14)/12*W9*p_cen_stock_m,0)</f>
        <v/>
      </c>
      <c r="W21" s="14">
        <f>IF(AND(W$3&gt;=c_first_dec,W$3&lt;=ROUND(p_stop_det,0)),(s_Rd3k+s_Rd4k)/12*X7*X12*p_cover_m+(s_Rc1k*p_pwin_cen*X13+s_Rc2k*p_pwin_cen*p_minsa_occ*X14)/12*X9*p_cen_stock_m,0)</f>
        <v/>
      </c>
      <c r="X21" s="14">
        <f>IF(AND(X$3&gt;=c_first_dec,X$3&lt;=ROUND(p_stop_det,0)),(s_Rd3k+s_Rd4k)/12*Y7*Y12*p_cover_m+(s_Rc1k*p_pwin_cen*Y13+s_Rc2k*p_pwin_cen*p_minsa_occ*Y14)/12*Y9*p_cen_stock_m,0)</f>
        <v/>
      </c>
      <c r="Y21" s="14">
        <f>IF(AND(Y$3&gt;=c_first_dec,Y$3&lt;=ROUND(p_stop_det,0)),(s_Rd3k+s_Rd4k)/12*Z7*Z12*p_cover_m+(s_Rc1k*p_pwin_cen*Z13+s_Rc2k*p_pwin_cen*p_minsa_occ*Z14)/12*Z9*p_cen_stock_m,0)</f>
        <v/>
      </c>
      <c r="Z21" s="14">
        <f>IF(AND(Z$3&gt;=c_first_dec,Z$3&lt;=ROUND(p_stop_det,0)),(s_Rd3k+s_Rd4k)/12*AA7*AA12*p_cover_m+(s_Rc1k*p_pwin_cen*AA13+s_Rc2k*p_pwin_cen*p_minsa_occ*AA14)/12*AA9*p_cen_stock_m,0)</f>
        <v/>
      </c>
      <c r="AA21" s="14">
        <f>IF(AND(AA$3&gt;=c_first_dec,AA$3&lt;=ROUND(p_stop_det,0)),(s_Rd3k+s_Rd4k)/12*AB7*AB12*p_cover_m+(s_Rc1k*p_pwin_cen*AB13+s_Rc2k*p_pwin_cen*p_minsa_occ*AB14)/12*AB9*p_cen_stock_m,0)</f>
        <v/>
      </c>
      <c r="AB21" s="14">
        <f>IF(AND(AB$3&gt;=c_first_dec,AB$3&lt;=ROUND(p_stop_det,0)),(s_Rd3k+s_Rd4k)/12*AC7*AC12*p_cover_m+(s_Rc1k*p_pwin_cen*AC13+s_Rc2k*p_pwin_cen*p_minsa_occ*AC14)/12*AC9*p_cen_stock_m,0)</f>
        <v/>
      </c>
      <c r="AC21" s="14">
        <f>IF(AND(AC$3&gt;=c_first_dec,AC$3&lt;=ROUND(p_stop_det,0)),(s_Rd3k+s_Rd4k)/12*AD7*AD12*p_cover_m+(s_Rc1k*p_pwin_cen*AD13+s_Rc2k*p_pwin_cen*p_minsa_occ*AD14)/12*AD9*p_cen_stock_m,0)</f>
        <v/>
      </c>
      <c r="AD21" s="14">
        <f>IF(AND(AD$3&gt;=c_first_dec,AD$3&lt;=ROUND(p_stop_det,0)),(s_Rd3k+s_Rd4k)/12*AE7*AE12*p_cover_m+(s_Rc1k*p_pwin_cen*AE13+s_Rc2k*p_pwin_cen*p_minsa_occ*AE14)/12*AE9*p_cen_stock_m,0)</f>
        <v/>
      </c>
      <c r="AE21" s="14">
        <f>IF(AND(AE$3&gt;=c_first_dec,AE$3&lt;=ROUND(p_stop_det,0)),(s_Rd3k+s_Rd4k)/12*AF7*AF12*p_cover_m+(s_Rc1k*p_pwin_cen*AF13+s_Rc2k*p_pwin_cen*p_minsa_occ*AF14)/12*AF9*p_cen_stock_m,0)</f>
        <v/>
      </c>
      <c r="AF21" s="14">
        <f>IF(AND(AF$3&gt;=c_first_dec,AF$3&lt;=ROUND(p_stop_det,0)),(s_Rd3k+s_Rd4k)/12*AG7*AG12*p_cover_m+(s_Rc1k*p_pwin_cen*AG13+s_Rc2k*p_pwin_cen*p_minsa_occ*AG14)/12*AG9*p_cen_stock_m,0)</f>
        <v/>
      </c>
      <c r="AG21" s="14">
        <f>IF(AND(AG$3&gt;=c_first_dec,AG$3&lt;=ROUND(p_stop_det,0)),(s_Rd3k+s_Rd4k)/12*AH7*AH12*p_cover_m+(s_Rc1k*p_pwin_cen*AH13+s_Rc2k*p_pwin_cen*p_minsa_occ*AH14)/12*AH9*p_cen_stock_m,0)</f>
        <v/>
      </c>
      <c r="AH21" s="14">
        <f>IF(AND(AH$3&gt;=c_first_dec,AH$3&lt;=ROUND(p_stop_det,0)),(s_Rd3k+s_Rd4k)/12*AI7*AI12*p_cover_m+(s_Rc1k*p_pwin_cen*AI13+s_Rc2k*p_pwin_cen*p_minsa_occ*AI14)/12*AI9*p_cen_stock_m,0)</f>
        <v/>
      </c>
      <c r="AI21" s="14">
        <f>IF(AND(AI$3&gt;=c_first_dec,AI$3&lt;=ROUND(p_stop_det,0)),(s_Rd3k+s_Rd4k)/12*AJ7*AJ12*p_cover_m+(s_Rc1k*p_pwin_cen*AJ13+s_Rc2k*p_pwin_cen*p_minsa_occ*AJ14)/12*AJ9*p_cen_stock_m,0)</f>
        <v/>
      </c>
      <c r="AJ21" s="14">
        <f>IF(AND(AJ$3&gt;=c_first_dec,AJ$3&lt;=ROUND(p_stop_det,0)),(s_Rd3k+s_Rd4k)/12*AK7*AK12*p_cover_m+(s_Rc1k*p_pwin_cen*AK13+s_Rc2k*p_pwin_cen*p_minsa_occ*AK14)/12*AK9*p_cen_stock_m,0)</f>
        <v/>
      </c>
      <c r="AK21" s="14">
        <f>IF(AND(AK$3&gt;=c_first_dec,AK$3&lt;=ROUND(p_stop_det,0)),(s_Rd3k+s_Rd4k)/12*AL7*AL12*p_cover_m+(s_Rc1k*p_pwin_cen*AL13+s_Rc2k*p_pwin_cen*p_minsa_occ*AL14)/12*AL9*p_cen_stock_m,0)</f>
        <v/>
      </c>
      <c r="AL21" s="14">
        <f>IF(AND(AL$3&gt;=c_first_dec,AL$3&lt;=ROUND(p_stop_det,0)),(s_Rd3k+s_Rd4k)/12*AM7*AM12*p_cover_m+(s_Rc1k*p_pwin_cen*AM13+s_Rc2k*p_pwin_cen*p_minsa_occ*AM14)/12*AM9*p_cen_stock_m,0)</f>
        <v/>
      </c>
      <c r="AM21" s="14">
        <f>IF(AND(AM$3&gt;=c_first_dec,AM$3&lt;=ROUND(p_stop_det,0)),(s_Rd3k+s_Rd4k)/12*AN7*AN12*p_cover_m+(s_Rc1k*p_pwin_cen*AN13+s_Rc2k*p_pwin_cen*p_minsa_occ*AN14)/12*AN9*p_cen_stock_m,0)</f>
        <v/>
      </c>
      <c r="AN21" s="14">
        <f>IF(AND(AN$3&gt;=c_first_dec,AN$3&lt;=ROUND(p_stop_det,0)),(s_Rd3k+s_Rd4k)/12*AO7*AO12*p_cover_m+(s_Rc1k*p_pwin_cen*AO13+s_Rc2k*p_pwin_cen*p_minsa_occ*AO14)/12*AO9*p_cen_stock_m,0)</f>
        <v/>
      </c>
      <c r="AO21" s="14">
        <f>IF(AND(AO$3&gt;=c_first_dec,AO$3&lt;=ROUND(p_stop_det,0)),(s_Rd3k+s_Rd4k)/12*AP7*AP12*p_cover_m+(s_Rc1k*p_pwin_cen*AP13+s_Rc2k*p_pwin_cen*p_minsa_occ*AP14)/12*AP9*p_cen_stock_m,0)</f>
        <v/>
      </c>
      <c r="AP21" s="14">
        <f>IF(AND(AP$3&gt;=c_first_dec,AP$3&lt;=ROUND(p_stop_det,0)),(s_Rd3k+s_Rd4k)/12*AQ7*AQ12*p_cover_m+(s_Rc1k*p_pwin_cen*AQ13+s_Rc2k*p_pwin_cen*p_minsa_occ*AQ14)/12*AQ9*p_cen_stock_m,0)</f>
        <v/>
      </c>
      <c r="AQ21" s="14">
        <f>IF(AND(AQ$3&gt;=c_first_dec,AQ$3&lt;=ROUND(p_stop_det,0)),(s_Rd3k+s_Rd4k)/12*AR7*AR12*p_cover_m+(s_Rc1k*p_pwin_cen*AR13+s_Rc2k*p_pwin_cen*p_minsa_occ*AR14)/12*AR9*p_cen_stock_m,0)</f>
        <v/>
      </c>
      <c r="AR21" s="14">
        <f>IF(AND(AR$3&gt;=c_first_dec,AR$3&lt;=ROUND(p_stop_det,0)),(s_Rd3k+s_Rd4k)/12*AS7*AS12*p_cover_m+(s_Rc1k*p_pwin_cen*AS13+s_Rc2k*p_pwin_cen*p_minsa_occ*AS14)/12*AS9*p_cen_stock_m,0)</f>
        <v/>
      </c>
      <c r="AS21" s="14">
        <f>IF(AND(AS$3&gt;=c_first_dec,AS$3&lt;=ROUND(p_stop_det,0)),(s_Rd3k+s_Rd4k)/12*AT7*AT12*p_cover_m+(s_Rc1k*p_pwin_cen*AT13+s_Rc2k*p_pwin_cen*p_minsa_occ*AT14)/12*AT9*p_cen_stock_m,0)</f>
        <v/>
      </c>
      <c r="AT21" s="14">
        <f>IF(AND(AT$3&gt;=c_first_dec,AT$3&lt;=ROUND(p_stop_det,0)),(s_Rd3k+s_Rd4k)/12*AU7*AU12*p_cover_m+(s_Rc1k*p_pwin_cen*AU13+s_Rc2k*p_pwin_cen*p_minsa_occ*AU14)/12*AU9*p_cen_stock_m,0)</f>
        <v/>
      </c>
      <c r="AU21" s="14">
        <f>IF(AND(AU$3&gt;=c_first_dec,AU$3&lt;=ROUND(p_stop_det,0)),(s_Rd3k+s_Rd4k)/12*AV7*AV12*p_cover_m+(s_Rc1k*p_pwin_cen*AV13+s_Rc2k*p_pwin_cen*p_minsa_occ*AV14)/12*AV9*p_cen_stock_m,0)</f>
        <v/>
      </c>
      <c r="AV21" s="14">
        <f>IF(AND(AV$3&gt;=c_first_dec,AV$3&lt;=ROUND(p_stop_det,0)),(s_Rd3k+s_Rd4k)/12*AW7*AW12*p_cover_m+(s_Rc1k*p_pwin_cen*AW13+s_Rc2k*p_pwin_cen*p_minsa_occ*AW14)/12*AW9*p_cen_stock_m,0)</f>
        <v/>
      </c>
      <c r="AW21" s="14">
        <f>IF(AND(AW$3&gt;=c_first_dec,AW$3&lt;=ROUND(p_stop_det,0)),(s_Rd3k+s_Rd4k)/12*AX7*AX12*p_cover_m+(s_Rc1k*p_pwin_cen*AX13+s_Rc2k*p_pwin_cen*p_minsa_occ*AX14)/12*AX9*p_cen_stock_m,0)</f>
        <v/>
      </c>
      <c r="AX21" s="14">
        <f>IF(AND(AX$3&gt;=c_first_dec,AX$3&lt;=ROUND(p_stop_det,0)),(s_Rd3k+s_Rd4k)/12*AY7*AY12*p_cover_m+(s_Rc1k*p_pwin_cen*AY13+s_Rc2k*p_pwin_cen*p_minsa_occ*AY14)/12*AY9*p_cen_stock_m,0)</f>
        <v/>
      </c>
      <c r="AY21" s="14">
        <f>IF(AND(AY$3&gt;=c_first_dec,AY$3&lt;=ROUND(p_stop_det,0)),(s_Rd3k+s_Rd4k)/12*AZ7*AZ12*p_cover_m+(s_Rc1k*p_pwin_cen*AZ13+s_Rc2k*p_pwin_cen*p_minsa_occ*AZ14)/12*AZ9*p_cen_stock_m,0)</f>
        <v/>
      </c>
      <c r="AZ21" s="14">
        <f>IF(AND(AZ$3&gt;=c_first_dec,AZ$3&lt;=ROUND(p_stop_det,0)),(s_Rd3k+s_Rd4k)/12*BA7*BA12*p_cover_m+(s_Rc1k*p_pwin_cen*BA13+s_Rc2k*p_pwin_cen*p_minsa_occ*BA14)/12*BA9*p_cen_stock_m,0)</f>
        <v/>
      </c>
      <c r="BA21" s="14">
        <f>IF(AND(BA$3&gt;=c_first_dec,BA$3&lt;=ROUND(p_stop_det,0)),(s_Rd3k+s_Rd4k)/12*BB7*BB12*p_cover_m+(s_Rc1k*p_pwin_cen*BB13+s_Rc2k*p_pwin_cen*p_minsa_occ*BB14)/12*BB9*p_cen_stock_m,0)</f>
        <v/>
      </c>
      <c r="BB21" s="14">
        <f>IF(AND(BB$3&gt;=c_first_dec,BB$3&lt;=ROUND(p_stop_det,0)),(s_Rd3k+s_Rd4k)/12*BC7*BC12*p_cover_m+(s_Rc1k*p_pwin_cen*BC13+s_Rc2k*p_pwin_cen*p_minsa_occ*BC14)/12*BC9*p_cen_stock_m,0)</f>
        <v/>
      </c>
      <c r="BC21" s="14">
        <f>IF(AND(BC$3&gt;=c_first_dec,BC$3&lt;=ROUND(p_stop_det,0)),(s_Rd3k+s_Rd4k)/12*BD7*BD12*p_cover_m+(s_Rc1k*p_pwin_cen*BD13+s_Rc2k*p_pwin_cen*p_minsa_occ*BD14)/12*BD9*p_cen_stock_m,0)</f>
        <v/>
      </c>
      <c r="BD21" s="14">
        <f>IF(AND(BD$3&gt;=c_first_dec,BD$3&lt;=ROUND(p_stop_det,0)),(s_Rd3k+s_Rd4k)/12*BE7*BE12*p_cover_m+(s_Rc1k*p_pwin_cen*BE13+s_Rc2k*p_pwin_cen*p_minsa_occ*BE14)/12*BE9*p_cen_stock_m,0)</f>
        <v/>
      </c>
      <c r="BE21" s="14">
        <f>IF(AND(BE$3&gt;=c_first_dec,BE$3&lt;=ROUND(p_stop_det,0)),(s_Rd3k+s_Rd4k)/12*BF7*BF12*p_cover_m+(s_Rc1k*p_pwin_cen*BF13+s_Rc2k*p_pwin_cen*p_minsa_occ*BF14)/12*BF9*p_cen_stock_m,0)</f>
        <v/>
      </c>
      <c r="BF21" s="14">
        <f>IF(AND(BF$3&gt;=c_first_dec,BF$3&lt;=ROUND(p_stop_det,0)),(s_Rd3k+s_Rd4k)/12*BG7*BG12*p_cover_m+(s_Rc1k*p_pwin_cen*BG13+s_Rc2k*p_pwin_cen*p_minsa_occ*BG14)/12*BG9*p_cen_stock_m,0)</f>
        <v/>
      </c>
      <c r="BG21" s="14">
        <f>IF(AND(BG$3&gt;=c_first_dec,BG$3&lt;=ROUND(p_stop_det,0)),(s_Rd3k+s_Rd4k)/12*BH7*BH12*p_cover_m+(s_Rc1k*p_pwin_cen*BH13+s_Rc2k*p_pwin_cen*p_minsa_occ*BH14)/12*BH9*p_cen_stock_m,0)</f>
        <v/>
      </c>
      <c r="BH21" s="14">
        <f>IF(AND(BH$3&gt;=c_first_dec,BH$3&lt;=ROUND(p_stop_det,0)),(s_Rd3k+s_Rd4k)/12*BI7*BI12*p_cover_m+(s_Rc1k*p_pwin_cen*BI13+s_Rc2k*p_pwin_cen*p_minsa_occ*BI14)/12*BI9*p_cen_stock_m,0)</f>
        <v/>
      </c>
      <c r="BI21" s="14">
        <f>IF(AND(BI$3&gt;=c_first_dec,BI$3&lt;=ROUND(p_stop_det,0)),(s_Rd3k+s_Rd4k)/12*BJ7*BJ12*p_cover_m+(s_Rc1k*p_pwin_cen*BJ13+s_Rc2k*p_pwin_cen*p_minsa_occ*BJ14)/12*BJ9*p_cen_stock_m,0)</f>
        <v/>
      </c>
      <c r="BJ21" s="14">
        <f>IF(AND(BJ$3&gt;=c_first_dec,BJ$3&lt;=ROUND(p_stop_det,0)),(s_Rd3k+s_Rd4k)/12*BK7*BK12*p_cover_m+(s_Rc1k*p_pwin_cen*BK13+s_Rc2k*p_pwin_cen*p_minsa_occ*BK14)/12*BK9*p_cen_stock_m,0)</f>
        <v/>
      </c>
      <c r="BK21" s="14">
        <f>IF(AND(BK$3&gt;=c_first_dec,BK$3&lt;=ROUND(p_stop_det,0)),(s_Rd3k+s_Rd4k)/12*BL7*BL12*p_cover_m+(s_Rc1k*p_pwin_cen*BL13+s_Rc2k*p_pwin_cen*p_minsa_occ*BL14)/12*BL9*p_cen_stock_m,0)</f>
        <v/>
      </c>
    </row>
    <row r="22">
      <c r="A22" s="9" t="inlineStr">
        <is>
          <t>Mercancía recibida (costo, incl. mermas)</t>
        </is>
      </c>
      <c r="D22" s="14">
        <f>IF(D$3&gt;ROUND(p_stop_det,0),0,D20*(1+p_expiry)+D21-C21)</f>
        <v/>
      </c>
      <c r="E22" s="14">
        <f>IF(E$3&gt;ROUND(p_stop_det,0),0,E20*(1+p_expiry)+E21-D21)</f>
        <v/>
      </c>
      <c r="F22" s="14">
        <f>IF(F$3&gt;ROUND(p_stop_det,0),0,F20*(1+p_expiry)+F21-E21)</f>
        <v/>
      </c>
      <c r="G22" s="14">
        <f>IF(G$3&gt;ROUND(p_stop_det,0),0,G20*(1+p_expiry)+G21-F21)</f>
        <v/>
      </c>
      <c r="H22" s="14">
        <f>IF(H$3&gt;ROUND(p_stop_det,0),0,H20*(1+p_expiry)+H21-G21)</f>
        <v/>
      </c>
      <c r="I22" s="14">
        <f>IF(I$3&gt;ROUND(p_stop_det,0),0,I20*(1+p_expiry)+I21-H21)</f>
        <v/>
      </c>
      <c r="J22" s="14">
        <f>IF(J$3&gt;ROUND(p_stop_det,0),0,J20*(1+p_expiry)+J21-I21)</f>
        <v/>
      </c>
      <c r="K22" s="14">
        <f>IF(K$3&gt;ROUND(p_stop_det,0),0,K20*(1+p_expiry)+K21-J21)</f>
        <v/>
      </c>
      <c r="L22" s="14">
        <f>IF(L$3&gt;ROUND(p_stop_det,0),0,L20*(1+p_expiry)+L21-K21)</f>
        <v/>
      </c>
      <c r="M22" s="14">
        <f>IF(M$3&gt;ROUND(p_stop_det,0),0,M20*(1+p_expiry)+M21-L21)</f>
        <v/>
      </c>
      <c r="N22" s="14">
        <f>IF(N$3&gt;ROUND(p_stop_det,0),0,N20*(1+p_expiry)+N21-M21)</f>
        <v/>
      </c>
      <c r="O22" s="14">
        <f>IF(O$3&gt;ROUND(p_stop_det,0),0,O20*(1+p_expiry)+O21-N21)</f>
        <v/>
      </c>
      <c r="P22" s="14">
        <f>IF(P$3&gt;ROUND(p_stop_det,0),0,P20*(1+p_expiry)+P21-O21)</f>
        <v/>
      </c>
      <c r="Q22" s="14">
        <f>IF(Q$3&gt;ROUND(p_stop_det,0),0,Q20*(1+p_expiry)+Q21-P21)</f>
        <v/>
      </c>
      <c r="R22" s="14">
        <f>IF(R$3&gt;ROUND(p_stop_det,0),0,R20*(1+p_expiry)+R21-Q21)</f>
        <v/>
      </c>
      <c r="S22" s="14">
        <f>IF(S$3&gt;ROUND(p_stop_det,0),0,S20*(1+p_expiry)+S21-R21)</f>
        <v/>
      </c>
      <c r="T22" s="14">
        <f>IF(T$3&gt;ROUND(p_stop_det,0),0,T20*(1+p_expiry)+T21-S21)</f>
        <v/>
      </c>
      <c r="U22" s="14">
        <f>IF(U$3&gt;ROUND(p_stop_det,0),0,U20*(1+p_expiry)+U21-T21)</f>
        <v/>
      </c>
      <c r="V22" s="14">
        <f>IF(V$3&gt;ROUND(p_stop_det,0),0,V20*(1+p_expiry)+V21-U21)</f>
        <v/>
      </c>
      <c r="W22" s="14">
        <f>IF(W$3&gt;ROUND(p_stop_det,0),0,W20*(1+p_expiry)+W21-V21)</f>
        <v/>
      </c>
      <c r="X22" s="14">
        <f>IF(X$3&gt;ROUND(p_stop_det,0),0,X20*(1+p_expiry)+X21-W21)</f>
        <v/>
      </c>
      <c r="Y22" s="14">
        <f>IF(Y$3&gt;ROUND(p_stop_det,0),0,Y20*(1+p_expiry)+Y21-X21)</f>
        <v/>
      </c>
      <c r="Z22" s="14">
        <f>IF(Z$3&gt;ROUND(p_stop_det,0),0,Z20*(1+p_expiry)+Z21-Y21)</f>
        <v/>
      </c>
      <c r="AA22" s="14">
        <f>IF(AA$3&gt;ROUND(p_stop_det,0),0,AA20*(1+p_expiry)+AA21-Z21)</f>
        <v/>
      </c>
      <c r="AB22" s="14">
        <f>IF(AB$3&gt;ROUND(p_stop_det,0),0,AB20*(1+p_expiry)+AB21-AA21)</f>
        <v/>
      </c>
      <c r="AC22" s="14">
        <f>IF(AC$3&gt;ROUND(p_stop_det,0),0,AC20*(1+p_expiry)+AC21-AB21)</f>
        <v/>
      </c>
      <c r="AD22" s="14">
        <f>IF(AD$3&gt;ROUND(p_stop_det,0),0,AD20*(1+p_expiry)+AD21-AC21)</f>
        <v/>
      </c>
      <c r="AE22" s="14">
        <f>IF(AE$3&gt;ROUND(p_stop_det,0),0,AE20*(1+p_expiry)+AE21-AD21)</f>
        <v/>
      </c>
      <c r="AF22" s="14">
        <f>IF(AF$3&gt;ROUND(p_stop_det,0),0,AF20*(1+p_expiry)+AF21-AE21)</f>
        <v/>
      </c>
      <c r="AG22" s="14">
        <f>IF(AG$3&gt;ROUND(p_stop_det,0),0,AG20*(1+p_expiry)+AG21-AF21)</f>
        <v/>
      </c>
      <c r="AH22" s="14">
        <f>IF(AH$3&gt;ROUND(p_stop_det,0),0,AH20*(1+p_expiry)+AH21-AG21)</f>
        <v/>
      </c>
      <c r="AI22" s="14">
        <f>IF(AI$3&gt;ROUND(p_stop_det,0),0,AI20*(1+p_expiry)+AI21-AH21)</f>
        <v/>
      </c>
      <c r="AJ22" s="14">
        <f>IF(AJ$3&gt;ROUND(p_stop_det,0),0,AJ20*(1+p_expiry)+AJ21-AI21)</f>
        <v/>
      </c>
      <c r="AK22" s="14">
        <f>IF(AK$3&gt;ROUND(p_stop_det,0),0,AK20*(1+p_expiry)+AK21-AJ21)</f>
        <v/>
      </c>
      <c r="AL22" s="14">
        <f>IF(AL$3&gt;ROUND(p_stop_det,0),0,AL20*(1+p_expiry)+AL21-AK21)</f>
        <v/>
      </c>
      <c r="AM22" s="14">
        <f>IF(AM$3&gt;ROUND(p_stop_det,0),0,AM20*(1+p_expiry)+AM21-AL21)</f>
        <v/>
      </c>
      <c r="AN22" s="14">
        <f>IF(AN$3&gt;ROUND(p_stop_det,0),0,AN20*(1+p_expiry)+AN21-AM21)</f>
        <v/>
      </c>
      <c r="AO22" s="14">
        <f>IF(AO$3&gt;ROUND(p_stop_det,0),0,AO20*(1+p_expiry)+AO21-AN21)</f>
        <v/>
      </c>
      <c r="AP22" s="14">
        <f>IF(AP$3&gt;ROUND(p_stop_det,0),0,AP20*(1+p_expiry)+AP21-AO21)</f>
        <v/>
      </c>
      <c r="AQ22" s="14">
        <f>IF(AQ$3&gt;ROUND(p_stop_det,0),0,AQ20*(1+p_expiry)+AQ21-AP21)</f>
        <v/>
      </c>
      <c r="AR22" s="14">
        <f>IF(AR$3&gt;ROUND(p_stop_det,0),0,AR20*(1+p_expiry)+AR21-AQ21)</f>
        <v/>
      </c>
      <c r="AS22" s="14">
        <f>IF(AS$3&gt;ROUND(p_stop_det,0),0,AS20*(1+p_expiry)+AS21-AR21)</f>
        <v/>
      </c>
      <c r="AT22" s="14">
        <f>IF(AT$3&gt;ROUND(p_stop_det,0),0,AT20*(1+p_expiry)+AT21-AS21)</f>
        <v/>
      </c>
      <c r="AU22" s="14">
        <f>IF(AU$3&gt;ROUND(p_stop_det,0),0,AU20*(1+p_expiry)+AU21-AT21)</f>
        <v/>
      </c>
      <c r="AV22" s="14">
        <f>IF(AV$3&gt;ROUND(p_stop_det,0),0,AV20*(1+p_expiry)+AV21-AU21)</f>
        <v/>
      </c>
      <c r="AW22" s="14">
        <f>IF(AW$3&gt;ROUND(p_stop_det,0),0,AW20*(1+p_expiry)+AW21-AV21)</f>
        <v/>
      </c>
      <c r="AX22" s="14">
        <f>IF(AX$3&gt;ROUND(p_stop_det,0),0,AX20*(1+p_expiry)+AX21-AW21)</f>
        <v/>
      </c>
      <c r="AY22" s="14">
        <f>IF(AY$3&gt;ROUND(p_stop_det,0),0,AY20*(1+p_expiry)+AY21-AX21)</f>
        <v/>
      </c>
      <c r="AZ22" s="14">
        <f>IF(AZ$3&gt;ROUND(p_stop_det,0),0,AZ20*(1+p_expiry)+AZ21-AY21)</f>
        <v/>
      </c>
      <c r="BA22" s="14">
        <f>IF(BA$3&gt;ROUND(p_stop_det,0),0,BA20*(1+p_expiry)+BA21-AZ21)</f>
        <v/>
      </c>
      <c r="BB22" s="14">
        <f>IF(BB$3&gt;ROUND(p_stop_det,0),0,BB20*(1+p_expiry)+BB21-BA21)</f>
        <v/>
      </c>
      <c r="BC22" s="14">
        <f>IF(BC$3&gt;ROUND(p_stop_det,0),0,BC20*(1+p_expiry)+BC21-BB21)</f>
        <v/>
      </c>
      <c r="BD22" s="14">
        <f>IF(BD$3&gt;ROUND(p_stop_det,0),0,BD20*(1+p_expiry)+BD21-BC21)</f>
        <v/>
      </c>
      <c r="BE22" s="14">
        <f>IF(BE$3&gt;ROUND(p_stop_det,0),0,BE20*(1+p_expiry)+BE21-BD21)</f>
        <v/>
      </c>
      <c r="BF22" s="14">
        <f>IF(BF$3&gt;ROUND(p_stop_det,0),0,BF20*(1+p_expiry)+BF21-BE21)</f>
        <v/>
      </c>
      <c r="BG22" s="14">
        <f>IF(BG$3&gt;ROUND(p_stop_det,0),0,BG20*(1+p_expiry)+BG21-BF21)</f>
        <v/>
      </c>
      <c r="BH22" s="14">
        <f>IF(BH$3&gt;ROUND(p_stop_det,0),0,BH20*(1+p_expiry)+BH21-BG21)</f>
        <v/>
      </c>
      <c r="BI22" s="14">
        <f>IF(BI$3&gt;ROUND(p_stop_det,0),0,BI20*(1+p_expiry)+BI21-BH21)</f>
        <v/>
      </c>
      <c r="BJ22" s="14">
        <f>IF(BJ$3&gt;ROUND(p_stop_det,0),0,BJ20*(1+p_expiry)+BJ21-BI21)</f>
        <v/>
      </c>
      <c r="BK22" s="14">
        <f>IF(BK$3&gt;ROUND(p_stop_det,0),0,BK20*(1+p_expiry)+BK21-BJ21)</f>
        <v/>
      </c>
    </row>
    <row r="23">
      <c r="A23" s="9" t="inlineStr">
        <is>
          <t>Pago de anticipos al proveedor</t>
        </is>
      </c>
      <c r="D23" s="14">
        <f>p_adv*IFERROR(INDEX($D$22:$BK$22,1,D$3+c_lead_m),0)</f>
        <v/>
      </c>
      <c r="E23" s="14">
        <f>p_adv*IFERROR(INDEX($D$22:$BK$22,1,E$3+c_lead_m),0)</f>
        <v/>
      </c>
      <c r="F23" s="14">
        <f>p_adv*IFERROR(INDEX($D$22:$BK$22,1,F$3+c_lead_m),0)</f>
        <v/>
      </c>
      <c r="G23" s="14">
        <f>p_adv*IFERROR(INDEX($D$22:$BK$22,1,G$3+c_lead_m),0)</f>
        <v/>
      </c>
      <c r="H23" s="14">
        <f>p_adv*IFERROR(INDEX($D$22:$BK$22,1,H$3+c_lead_m),0)</f>
        <v/>
      </c>
      <c r="I23" s="14">
        <f>p_adv*IFERROR(INDEX($D$22:$BK$22,1,I$3+c_lead_m),0)</f>
        <v/>
      </c>
      <c r="J23" s="14">
        <f>p_adv*IFERROR(INDEX($D$22:$BK$22,1,J$3+c_lead_m),0)</f>
        <v/>
      </c>
      <c r="K23" s="14">
        <f>p_adv*IFERROR(INDEX($D$22:$BK$22,1,K$3+c_lead_m),0)</f>
        <v/>
      </c>
      <c r="L23" s="14">
        <f>p_adv*IFERROR(INDEX($D$22:$BK$22,1,L$3+c_lead_m),0)</f>
        <v/>
      </c>
      <c r="M23" s="14">
        <f>p_adv*IFERROR(INDEX($D$22:$BK$22,1,M$3+c_lead_m),0)</f>
        <v/>
      </c>
      <c r="N23" s="14">
        <f>p_adv*IFERROR(INDEX($D$22:$BK$22,1,N$3+c_lead_m),0)</f>
        <v/>
      </c>
      <c r="O23" s="14">
        <f>p_adv*IFERROR(INDEX($D$22:$BK$22,1,O$3+c_lead_m),0)</f>
        <v/>
      </c>
      <c r="P23" s="14">
        <f>p_adv*IFERROR(INDEX($D$22:$BK$22,1,P$3+c_lead_m),0)</f>
        <v/>
      </c>
      <c r="Q23" s="14">
        <f>p_adv*IFERROR(INDEX($D$22:$BK$22,1,Q$3+c_lead_m),0)</f>
        <v/>
      </c>
      <c r="R23" s="14">
        <f>p_adv*IFERROR(INDEX($D$22:$BK$22,1,R$3+c_lead_m),0)</f>
        <v/>
      </c>
      <c r="S23" s="14">
        <f>p_adv*IFERROR(INDEX($D$22:$BK$22,1,S$3+c_lead_m),0)</f>
        <v/>
      </c>
      <c r="T23" s="14">
        <f>p_adv*IFERROR(INDEX($D$22:$BK$22,1,T$3+c_lead_m),0)</f>
        <v/>
      </c>
      <c r="U23" s="14">
        <f>p_adv*IFERROR(INDEX($D$22:$BK$22,1,U$3+c_lead_m),0)</f>
        <v/>
      </c>
      <c r="V23" s="14">
        <f>p_adv*IFERROR(INDEX($D$22:$BK$22,1,V$3+c_lead_m),0)</f>
        <v/>
      </c>
      <c r="W23" s="14">
        <f>p_adv*IFERROR(INDEX($D$22:$BK$22,1,W$3+c_lead_m),0)</f>
        <v/>
      </c>
      <c r="X23" s="14">
        <f>p_adv*IFERROR(INDEX($D$22:$BK$22,1,X$3+c_lead_m),0)</f>
        <v/>
      </c>
      <c r="Y23" s="14">
        <f>p_adv*IFERROR(INDEX($D$22:$BK$22,1,Y$3+c_lead_m),0)</f>
        <v/>
      </c>
      <c r="Z23" s="14">
        <f>p_adv*IFERROR(INDEX($D$22:$BK$22,1,Z$3+c_lead_m),0)</f>
        <v/>
      </c>
      <c r="AA23" s="14">
        <f>p_adv*IFERROR(INDEX($D$22:$BK$22,1,AA$3+c_lead_m),0)</f>
        <v/>
      </c>
      <c r="AB23" s="14">
        <f>p_adv*IFERROR(INDEX($D$22:$BK$22,1,AB$3+c_lead_m),0)</f>
        <v/>
      </c>
      <c r="AC23" s="14">
        <f>p_adv*IFERROR(INDEX($D$22:$BK$22,1,AC$3+c_lead_m),0)</f>
        <v/>
      </c>
      <c r="AD23" s="14">
        <f>p_adv*IFERROR(INDEX($D$22:$BK$22,1,AD$3+c_lead_m),0)</f>
        <v/>
      </c>
      <c r="AE23" s="14">
        <f>p_adv*IFERROR(INDEX($D$22:$BK$22,1,AE$3+c_lead_m),0)</f>
        <v/>
      </c>
      <c r="AF23" s="14">
        <f>p_adv*IFERROR(INDEX($D$22:$BK$22,1,AF$3+c_lead_m),0)</f>
        <v/>
      </c>
      <c r="AG23" s="14">
        <f>p_adv*IFERROR(INDEX($D$22:$BK$22,1,AG$3+c_lead_m),0)</f>
        <v/>
      </c>
      <c r="AH23" s="14">
        <f>p_adv*IFERROR(INDEX($D$22:$BK$22,1,AH$3+c_lead_m),0)</f>
        <v/>
      </c>
      <c r="AI23" s="14">
        <f>p_adv*IFERROR(INDEX($D$22:$BK$22,1,AI$3+c_lead_m),0)</f>
        <v/>
      </c>
      <c r="AJ23" s="14">
        <f>p_adv*IFERROR(INDEX($D$22:$BK$22,1,AJ$3+c_lead_m),0)</f>
        <v/>
      </c>
      <c r="AK23" s="14">
        <f>p_adv*IFERROR(INDEX($D$22:$BK$22,1,AK$3+c_lead_m),0)</f>
        <v/>
      </c>
      <c r="AL23" s="14">
        <f>p_adv*IFERROR(INDEX($D$22:$BK$22,1,AL$3+c_lead_m),0)</f>
        <v/>
      </c>
      <c r="AM23" s="14">
        <f>p_adv*IFERROR(INDEX($D$22:$BK$22,1,AM$3+c_lead_m),0)</f>
        <v/>
      </c>
      <c r="AN23" s="14">
        <f>p_adv*IFERROR(INDEX($D$22:$BK$22,1,AN$3+c_lead_m),0)</f>
        <v/>
      </c>
      <c r="AO23" s="14">
        <f>p_adv*IFERROR(INDEX($D$22:$BK$22,1,AO$3+c_lead_m),0)</f>
        <v/>
      </c>
      <c r="AP23" s="14">
        <f>p_adv*IFERROR(INDEX($D$22:$BK$22,1,AP$3+c_lead_m),0)</f>
        <v/>
      </c>
      <c r="AQ23" s="14">
        <f>p_adv*IFERROR(INDEX($D$22:$BK$22,1,AQ$3+c_lead_m),0)</f>
        <v/>
      </c>
      <c r="AR23" s="14">
        <f>p_adv*IFERROR(INDEX($D$22:$BK$22,1,AR$3+c_lead_m),0)</f>
        <v/>
      </c>
      <c r="AS23" s="14">
        <f>p_adv*IFERROR(INDEX($D$22:$BK$22,1,AS$3+c_lead_m),0)</f>
        <v/>
      </c>
      <c r="AT23" s="14">
        <f>p_adv*IFERROR(INDEX($D$22:$BK$22,1,AT$3+c_lead_m),0)</f>
        <v/>
      </c>
      <c r="AU23" s="14">
        <f>p_adv*IFERROR(INDEX($D$22:$BK$22,1,AU$3+c_lead_m),0)</f>
        <v/>
      </c>
      <c r="AV23" s="14">
        <f>p_adv*IFERROR(INDEX($D$22:$BK$22,1,AV$3+c_lead_m),0)</f>
        <v/>
      </c>
      <c r="AW23" s="14">
        <f>p_adv*IFERROR(INDEX($D$22:$BK$22,1,AW$3+c_lead_m),0)</f>
        <v/>
      </c>
      <c r="AX23" s="14">
        <f>p_adv*IFERROR(INDEX($D$22:$BK$22,1,AX$3+c_lead_m),0)</f>
        <v/>
      </c>
      <c r="AY23" s="14">
        <f>p_adv*IFERROR(INDEX($D$22:$BK$22,1,AY$3+c_lead_m),0)</f>
        <v/>
      </c>
      <c r="AZ23" s="14">
        <f>p_adv*IFERROR(INDEX($D$22:$BK$22,1,AZ$3+c_lead_m),0)</f>
        <v/>
      </c>
      <c r="BA23" s="14">
        <f>p_adv*IFERROR(INDEX($D$22:$BK$22,1,BA$3+c_lead_m),0)</f>
        <v/>
      </c>
      <c r="BB23" s="14">
        <f>p_adv*IFERROR(INDEX($D$22:$BK$22,1,BB$3+c_lead_m),0)</f>
        <v/>
      </c>
      <c r="BC23" s="14">
        <f>p_adv*IFERROR(INDEX($D$22:$BK$22,1,BC$3+c_lead_m),0)</f>
        <v/>
      </c>
      <c r="BD23" s="14">
        <f>p_adv*IFERROR(INDEX($D$22:$BK$22,1,BD$3+c_lead_m),0)</f>
        <v/>
      </c>
      <c r="BE23" s="14">
        <f>p_adv*IFERROR(INDEX($D$22:$BK$22,1,BE$3+c_lead_m),0)</f>
        <v/>
      </c>
      <c r="BF23" s="14">
        <f>p_adv*IFERROR(INDEX($D$22:$BK$22,1,BF$3+c_lead_m),0)</f>
        <v/>
      </c>
      <c r="BG23" s="14">
        <f>p_adv*IFERROR(INDEX($D$22:$BK$22,1,BG$3+c_lead_m),0)</f>
        <v/>
      </c>
      <c r="BH23" s="14">
        <f>p_adv*IFERROR(INDEX($D$22:$BK$22,1,BH$3+c_lead_m),0)</f>
        <v/>
      </c>
      <c r="BI23" s="14">
        <f>p_adv*IFERROR(INDEX($D$22:$BK$22,1,BI$3+c_lead_m),0)</f>
        <v/>
      </c>
      <c r="BJ23" s="14">
        <f>p_adv*IFERROR(INDEX($D$22:$BK$22,1,BJ$3+c_lead_m),0)</f>
        <v/>
      </c>
      <c r="BK23" s="14">
        <f>p_adv*IFERROR(INDEX($D$22:$BK$22,1,BK$3+c_lead_m),0)</f>
        <v/>
      </c>
    </row>
    <row r="24">
      <c r="A24" s="9" t="inlineStr">
        <is>
          <t>Pago de saldos al proveedor</t>
        </is>
      </c>
      <c r="D24" s="14">
        <f>IF(AND(D$3+c_ship_m-c_credit_m&gt;=1,D$3+c_ship_m-c_credit_m&lt;=60),(1-p_adv)*INDEX($D$22:$BK$22,1,D$3+c_ship_m-c_credit_m),0)</f>
        <v/>
      </c>
      <c r="E24" s="14">
        <f>IF(AND(E$3+c_ship_m-c_credit_m&gt;=1,E$3+c_ship_m-c_credit_m&lt;=60),(1-p_adv)*INDEX($D$22:$BK$22,1,E$3+c_ship_m-c_credit_m),0)</f>
        <v/>
      </c>
      <c r="F24" s="14">
        <f>IF(AND(F$3+c_ship_m-c_credit_m&gt;=1,F$3+c_ship_m-c_credit_m&lt;=60),(1-p_adv)*INDEX($D$22:$BK$22,1,F$3+c_ship_m-c_credit_m),0)</f>
        <v/>
      </c>
      <c r="G24" s="14">
        <f>IF(AND(G$3+c_ship_m-c_credit_m&gt;=1,G$3+c_ship_m-c_credit_m&lt;=60),(1-p_adv)*INDEX($D$22:$BK$22,1,G$3+c_ship_m-c_credit_m),0)</f>
        <v/>
      </c>
      <c r="H24" s="14">
        <f>IF(AND(H$3+c_ship_m-c_credit_m&gt;=1,H$3+c_ship_m-c_credit_m&lt;=60),(1-p_adv)*INDEX($D$22:$BK$22,1,H$3+c_ship_m-c_credit_m),0)</f>
        <v/>
      </c>
      <c r="I24" s="14">
        <f>IF(AND(I$3+c_ship_m-c_credit_m&gt;=1,I$3+c_ship_m-c_credit_m&lt;=60),(1-p_adv)*INDEX($D$22:$BK$22,1,I$3+c_ship_m-c_credit_m),0)</f>
        <v/>
      </c>
      <c r="J24" s="14">
        <f>IF(AND(J$3+c_ship_m-c_credit_m&gt;=1,J$3+c_ship_m-c_credit_m&lt;=60),(1-p_adv)*INDEX($D$22:$BK$22,1,J$3+c_ship_m-c_credit_m),0)</f>
        <v/>
      </c>
      <c r="K24" s="14">
        <f>IF(AND(K$3+c_ship_m-c_credit_m&gt;=1,K$3+c_ship_m-c_credit_m&lt;=60),(1-p_adv)*INDEX($D$22:$BK$22,1,K$3+c_ship_m-c_credit_m),0)</f>
        <v/>
      </c>
      <c r="L24" s="14">
        <f>IF(AND(L$3+c_ship_m-c_credit_m&gt;=1,L$3+c_ship_m-c_credit_m&lt;=60),(1-p_adv)*INDEX($D$22:$BK$22,1,L$3+c_ship_m-c_credit_m),0)</f>
        <v/>
      </c>
      <c r="M24" s="14">
        <f>IF(AND(M$3+c_ship_m-c_credit_m&gt;=1,M$3+c_ship_m-c_credit_m&lt;=60),(1-p_adv)*INDEX($D$22:$BK$22,1,M$3+c_ship_m-c_credit_m),0)</f>
        <v/>
      </c>
      <c r="N24" s="14">
        <f>IF(AND(N$3+c_ship_m-c_credit_m&gt;=1,N$3+c_ship_m-c_credit_m&lt;=60),(1-p_adv)*INDEX($D$22:$BK$22,1,N$3+c_ship_m-c_credit_m),0)</f>
        <v/>
      </c>
      <c r="O24" s="14">
        <f>IF(AND(O$3+c_ship_m-c_credit_m&gt;=1,O$3+c_ship_m-c_credit_m&lt;=60),(1-p_adv)*INDEX($D$22:$BK$22,1,O$3+c_ship_m-c_credit_m),0)</f>
        <v/>
      </c>
      <c r="P24" s="14">
        <f>IF(AND(P$3+c_ship_m-c_credit_m&gt;=1,P$3+c_ship_m-c_credit_m&lt;=60),(1-p_adv)*INDEX($D$22:$BK$22,1,P$3+c_ship_m-c_credit_m),0)</f>
        <v/>
      </c>
      <c r="Q24" s="14">
        <f>IF(AND(Q$3+c_ship_m-c_credit_m&gt;=1,Q$3+c_ship_m-c_credit_m&lt;=60),(1-p_adv)*INDEX($D$22:$BK$22,1,Q$3+c_ship_m-c_credit_m),0)</f>
        <v/>
      </c>
      <c r="R24" s="14">
        <f>IF(AND(R$3+c_ship_m-c_credit_m&gt;=1,R$3+c_ship_m-c_credit_m&lt;=60),(1-p_adv)*INDEX($D$22:$BK$22,1,R$3+c_ship_m-c_credit_m),0)</f>
        <v/>
      </c>
      <c r="S24" s="14">
        <f>IF(AND(S$3+c_ship_m-c_credit_m&gt;=1,S$3+c_ship_m-c_credit_m&lt;=60),(1-p_adv)*INDEX($D$22:$BK$22,1,S$3+c_ship_m-c_credit_m),0)</f>
        <v/>
      </c>
      <c r="T24" s="14">
        <f>IF(AND(T$3+c_ship_m-c_credit_m&gt;=1,T$3+c_ship_m-c_credit_m&lt;=60),(1-p_adv)*INDEX($D$22:$BK$22,1,T$3+c_ship_m-c_credit_m),0)</f>
        <v/>
      </c>
      <c r="U24" s="14">
        <f>IF(AND(U$3+c_ship_m-c_credit_m&gt;=1,U$3+c_ship_m-c_credit_m&lt;=60),(1-p_adv)*INDEX($D$22:$BK$22,1,U$3+c_ship_m-c_credit_m),0)</f>
        <v/>
      </c>
      <c r="V24" s="14">
        <f>IF(AND(V$3+c_ship_m-c_credit_m&gt;=1,V$3+c_ship_m-c_credit_m&lt;=60),(1-p_adv)*INDEX($D$22:$BK$22,1,V$3+c_ship_m-c_credit_m),0)</f>
        <v/>
      </c>
      <c r="W24" s="14">
        <f>IF(AND(W$3+c_ship_m-c_credit_m&gt;=1,W$3+c_ship_m-c_credit_m&lt;=60),(1-p_adv)*INDEX($D$22:$BK$22,1,W$3+c_ship_m-c_credit_m),0)</f>
        <v/>
      </c>
      <c r="X24" s="14">
        <f>IF(AND(X$3+c_ship_m-c_credit_m&gt;=1,X$3+c_ship_m-c_credit_m&lt;=60),(1-p_adv)*INDEX($D$22:$BK$22,1,X$3+c_ship_m-c_credit_m),0)</f>
        <v/>
      </c>
      <c r="Y24" s="14">
        <f>IF(AND(Y$3+c_ship_m-c_credit_m&gt;=1,Y$3+c_ship_m-c_credit_m&lt;=60),(1-p_adv)*INDEX($D$22:$BK$22,1,Y$3+c_ship_m-c_credit_m),0)</f>
        <v/>
      </c>
      <c r="Z24" s="14">
        <f>IF(AND(Z$3+c_ship_m-c_credit_m&gt;=1,Z$3+c_ship_m-c_credit_m&lt;=60),(1-p_adv)*INDEX($D$22:$BK$22,1,Z$3+c_ship_m-c_credit_m),0)</f>
        <v/>
      </c>
      <c r="AA24" s="14">
        <f>IF(AND(AA$3+c_ship_m-c_credit_m&gt;=1,AA$3+c_ship_m-c_credit_m&lt;=60),(1-p_adv)*INDEX($D$22:$BK$22,1,AA$3+c_ship_m-c_credit_m),0)</f>
        <v/>
      </c>
      <c r="AB24" s="14">
        <f>IF(AND(AB$3+c_ship_m-c_credit_m&gt;=1,AB$3+c_ship_m-c_credit_m&lt;=60),(1-p_adv)*INDEX($D$22:$BK$22,1,AB$3+c_ship_m-c_credit_m),0)</f>
        <v/>
      </c>
      <c r="AC24" s="14">
        <f>IF(AND(AC$3+c_ship_m-c_credit_m&gt;=1,AC$3+c_ship_m-c_credit_m&lt;=60),(1-p_adv)*INDEX($D$22:$BK$22,1,AC$3+c_ship_m-c_credit_m),0)</f>
        <v/>
      </c>
      <c r="AD24" s="14">
        <f>IF(AND(AD$3+c_ship_m-c_credit_m&gt;=1,AD$3+c_ship_m-c_credit_m&lt;=60),(1-p_adv)*INDEX($D$22:$BK$22,1,AD$3+c_ship_m-c_credit_m),0)</f>
        <v/>
      </c>
      <c r="AE24" s="14">
        <f>IF(AND(AE$3+c_ship_m-c_credit_m&gt;=1,AE$3+c_ship_m-c_credit_m&lt;=60),(1-p_adv)*INDEX($D$22:$BK$22,1,AE$3+c_ship_m-c_credit_m),0)</f>
        <v/>
      </c>
      <c r="AF24" s="14">
        <f>IF(AND(AF$3+c_ship_m-c_credit_m&gt;=1,AF$3+c_ship_m-c_credit_m&lt;=60),(1-p_adv)*INDEX($D$22:$BK$22,1,AF$3+c_ship_m-c_credit_m),0)</f>
        <v/>
      </c>
      <c r="AG24" s="14">
        <f>IF(AND(AG$3+c_ship_m-c_credit_m&gt;=1,AG$3+c_ship_m-c_credit_m&lt;=60),(1-p_adv)*INDEX($D$22:$BK$22,1,AG$3+c_ship_m-c_credit_m),0)</f>
        <v/>
      </c>
      <c r="AH24" s="14">
        <f>IF(AND(AH$3+c_ship_m-c_credit_m&gt;=1,AH$3+c_ship_m-c_credit_m&lt;=60),(1-p_adv)*INDEX($D$22:$BK$22,1,AH$3+c_ship_m-c_credit_m),0)</f>
        <v/>
      </c>
      <c r="AI24" s="14">
        <f>IF(AND(AI$3+c_ship_m-c_credit_m&gt;=1,AI$3+c_ship_m-c_credit_m&lt;=60),(1-p_adv)*INDEX($D$22:$BK$22,1,AI$3+c_ship_m-c_credit_m),0)</f>
        <v/>
      </c>
      <c r="AJ24" s="14">
        <f>IF(AND(AJ$3+c_ship_m-c_credit_m&gt;=1,AJ$3+c_ship_m-c_credit_m&lt;=60),(1-p_adv)*INDEX($D$22:$BK$22,1,AJ$3+c_ship_m-c_credit_m),0)</f>
        <v/>
      </c>
      <c r="AK24" s="14">
        <f>IF(AND(AK$3+c_ship_m-c_credit_m&gt;=1,AK$3+c_ship_m-c_credit_m&lt;=60),(1-p_adv)*INDEX($D$22:$BK$22,1,AK$3+c_ship_m-c_credit_m),0)</f>
        <v/>
      </c>
      <c r="AL24" s="14">
        <f>IF(AND(AL$3+c_ship_m-c_credit_m&gt;=1,AL$3+c_ship_m-c_credit_m&lt;=60),(1-p_adv)*INDEX($D$22:$BK$22,1,AL$3+c_ship_m-c_credit_m),0)</f>
        <v/>
      </c>
      <c r="AM24" s="14">
        <f>IF(AND(AM$3+c_ship_m-c_credit_m&gt;=1,AM$3+c_ship_m-c_credit_m&lt;=60),(1-p_adv)*INDEX($D$22:$BK$22,1,AM$3+c_ship_m-c_credit_m),0)</f>
        <v/>
      </c>
      <c r="AN24" s="14">
        <f>IF(AND(AN$3+c_ship_m-c_credit_m&gt;=1,AN$3+c_ship_m-c_credit_m&lt;=60),(1-p_adv)*INDEX($D$22:$BK$22,1,AN$3+c_ship_m-c_credit_m),0)</f>
        <v/>
      </c>
      <c r="AO24" s="14">
        <f>IF(AND(AO$3+c_ship_m-c_credit_m&gt;=1,AO$3+c_ship_m-c_credit_m&lt;=60),(1-p_adv)*INDEX($D$22:$BK$22,1,AO$3+c_ship_m-c_credit_m),0)</f>
        <v/>
      </c>
      <c r="AP24" s="14">
        <f>IF(AND(AP$3+c_ship_m-c_credit_m&gt;=1,AP$3+c_ship_m-c_credit_m&lt;=60),(1-p_adv)*INDEX($D$22:$BK$22,1,AP$3+c_ship_m-c_credit_m),0)</f>
        <v/>
      </c>
      <c r="AQ24" s="14">
        <f>IF(AND(AQ$3+c_ship_m-c_credit_m&gt;=1,AQ$3+c_ship_m-c_credit_m&lt;=60),(1-p_adv)*INDEX($D$22:$BK$22,1,AQ$3+c_ship_m-c_credit_m),0)</f>
        <v/>
      </c>
      <c r="AR24" s="14">
        <f>IF(AND(AR$3+c_ship_m-c_credit_m&gt;=1,AR$3+c_ship_m-c_credit_m&lt;=60),(1-p_adv)*INDEX($D$22:$BK$22,1,AR$3+c_ship_m-c_credit_m),0)</f>
        <v/>
      </c>
      <c r="AS24" s="14">
        <f>IF(AND(AS$3+c_ship_m-c_credit_m&gt;=1,AS$3+c_ship_m-c_credit_m&lt;=60),(1-p_adv)*INDEX($D$22:$BK$22,1,AS$3+c_ship_m-c_credit_m),0)</f>
        <v/>
      </c>
      <c r="AT24" s="14">
        <f>IF(AND(AT$3+c_ship_m-c_credit_m&gt;=1,AT$3+c_ship_m-c_credit_m&lt;=60),(1-p_adv)*INDEX($D$22:$BK$22,1,AT$3+c_ship_m-c_credit_m),0)</f>
        <v/>
      </c>
      <c r="AU24" s="14">
        <f>IF(AND(AU$3+c_ship_m-c_credit_m&gt;=1,AU$3+c_ship_m-c_credit_m&lt;=60),(1-p_adv)*INDEX($D$22:$BK$22,1,AU$3+c_ship_m-c_credit_m),0)</f>
        <v/>
      </c>
      <c r="AV24" s="14">
        <f>IF(AND(AV$3+c_ship_m-c_credit_m&gt;=1,AV$3+c_ship_m-c_credit_m&lt;=60),(1-p_adv)*INDEX($D$22:$BK$22,1,AV$3+c_ship_m-c_credit_m),0)</f>
        <v/>
      </c>
      <c r="AW24" s="14">
        <f>IF(AND(AW$3+c_ship_m-c_credit_m&gt;=1,AW$3+c_ship_m-c_credit_m&lt;=60),(1-p_adv)*INDEX($D$22:$BK$22,1,AW$3+c_ship_m-c_credit_m),0)</f>
        <v/>
      </c>
      <c r="AX24" s="14">
        <f>IF(AND(AX$3+c_ship_m-c_credit_m&gt;=1,AX$3+c_ship_m-c_credit_m&lt;=60),(1-p_adv)*INDEX($D$22:$BK$22,1,AX$3+c_ship_m-c_credit_m),0)</f>
        <v/>
      </c>
      <c r="AY24" s="14">
        <f>IF(AND(AY$3+c_ship_m-c_credit_m&gt;=1,AY$3+c_ship_m-c_credit_m&lt;=60),(1-p_adv)*INDEX($D$22:$BK$22,1,AY$3+c_ship_m-c_credit_m),0)</f>
        <v/>
      </c>
      <c r="AZ24" s="14">
        <f>IF(AND(AZ$3+c_ship_m-c_credit_m&gt;=1,AZ$3+c_ship_m-c_credit_m&lt;=60),(1-p_adv)*INDEX($D$22:$BK$22,1,AZ$3+c_ship_m-c_credit_m),0)</f>
        <v/>
      </c>
      <c r="BA24" s="14">
        <f>IF(AND(BA$3+c_ship_m-c_credit_m&gt;=1,BA$3+c_ship_m-c_credit_m&lt;=60),(1-p_adv)*INDEX($D$22:$BK$22,1,BA$3+c_ship_m-c_credit_m),0)</f>
        <v/>
      </c>
      <c r="BB24" s="14">
        <f>IF(AND(BB$3+c_ship_m-c_credit_m&gt;=1,BB$3+c_ship_m-c_credit_m&lt;=60),(1-p_adv)*INDEX($D$22:$BK$22,1,BB$3+c_ship_m-c_credit_m),0)</f>
        <v/>
      </c>
      <c r="BC24" s="14">
        <f>IF(AND(BC$3+c_ship_m-c_credit_m&gt;=1,BC$3+c_ship_m-c_credit_m&lt;=60),(1-p_adv)*INDEX($D$22:$BK$22,1,BC$3+c_ship_m-c_credit_m),0)</f>
        <v/>
      </c>
      <c r="BD24" s="14">
        <f>IF(AND(BD$3+c_ship_m-c_credit_m&gt;=1,BD$3+c_ship_m-c_credit_m&lt;=60),(1-p_adv)*INDEX($D$22:$BK$22,1,BD$3+c_ship_m-c_credit_m),0)</f>
        <v/>
      </c>
      <c r="BE24" s="14">
        <f>IF(AND(BE$3+c_ship_m-c_credit_m&gt;=1,BE$3+c_ship_m-c_credit_m&lt;=60),(1-p_adv)*INDEX($D$22:$BK$22,1,BE$3+c_ship_m-c_credit_m),0)</f>
        <v/>
      </c>
      <c r="BF24" s="14">
        <f>IF(AND(BF$3+c_ship_m-c_credit_m&gt;=1,BF$3+c_ship_m-c_credit_m&lt;=60),(1-p_adv)*INDEX($D$22:$BK$22,1,BF$3+c_ship_m-c_credit_m),0)</f>
        <v/>
      </c>
      <c r="BG24" s="14">
        <f>IF(AND(BG$3+c_ship_m-c_credit_m&gt;=1,BG$3+c_ship_m-c_credit_m&lt;=60),(1-p_adv)*INDEX($D$22:$BK$22,1,BG$3+c_ship_m-c_credit_m),0)</f>
        <v/>
      </c>
      <c r="BH24" s="14">
        <f>IF(AND(BH$3+c_ship_m-c_credit_m&gt;=1,BH$3+c_ship_m-c_credit_m&lt;=60),(1-p_adv)*INDEX($D$22:$BK$22,1,BH$3+c_ship_m-c_credit_m),0)</f>
        <v/>
      </c>
      <c r="BI24" s="14">
        <f>IF(AND(BI$3+c_ship_m-c_credit_m&gt;=1,BI$3+c_ship_m-c_credit_m&lt;=60),(1-p_adv)*INDEX($D$22:$BK$22,1,BI$3+c_ship_m-c_credit_m),0)</f>
        <v/>
      </c>
      <c r="BJ24" s="14">
        <f>IF(AND(BJ$3+c_ship_m-c_credit_m&gt;=1,BJ$3+c_ship_m-c_credit_m&lt;=60),(1-p_adv)*INDEX($D$22:$BK$22,1,BJ$3+c_ship_m-c_credit_m),0)</f>
        <v/>
      </c>
      <c r="BK24" s="14">
        <f>IF(AND(BK$3+c_ship_m-c_credit_m&gt;=1,BK$3+c_ship_m-c_credit_m&lt;=60),(1-p_adv)*INDEX($D$22:$BK$22,1,BK$3+c_ship_m-c_credit_m),0)</f>
        <v/>
      </c>
    </row>
    <row r="25">
      <c r="A25" s="7" t="inlineStr">
        <is>
          <t>PAGOS AL PROVEEDOR</t>
        </is>
      </c>
      <c r="D25" s="24">
        <f>D23+D24</f>
        <v/>
      </c>
      <c r="E25" s="24">
        <f>E23+E24</f>
        <v/>
      </c>
      <c r="F25" s="24">
        <f>F23+F24</f>
        <v/>
      </c>
      <c r="G25" s="24">
        <f>G23+G24</f>
        <v/>
      </c>
      <c r="H25" s="24">
        <f>H23+H24</f>
        <v/>
      </c>
      <c r="I25" s="24">
        <f>I23+I24</f>
        <v/>
      </c>
      <c r="J25" s="24">
        <f>J23+J24</f>
        <v/>
      </c>
      <c r="K25" s="24">
        <f>K23+K24</f>
        <v/>
      </c>
      <c r="L25" s="24">
        <f>L23+L24</f>
        <v/>
      </c>
      <c r="M25" s="24">
        <f>M23+M24</f>
        <v/>
      </c>
      <c r="N25" s="24">
        <f>N23+N24</f>
        <v/>
      </c>
      <c r="O25" s="24">
        <f>O23+O24</f>
        <v/>
      </c>
      <c r="P25" s="24">
        <f>P23+P24</f>
        <v/>
      </c>
      <c r="Q25" s="24">
        <f>Q23+Q24</f>
        <v/>
      </c>
      <c r="R25" s="24">
        <f>R23+R24</f>
        <v/>
      </c>
      <c r="S25" s="24">
        <f>S23+S24</f>
        <v/>
      </c>
      <c r="T25" s="24">
        <f>T23+T24</f>
        <v/>
      </c>
      <c r="U25" s="24">
        <f>U23+U24</f>
        <v/>
      </c>
      <c r="V25" s="24">
        <f>V23+V24</f>
        <v/>
      </c>
      <c r="W25" s="24">
        <f>W23+W24</f>
        <v/>
      </c>
      <c r="X25" s="24">
        <f>X23+X24</f>
        <v/>
      </c>
      <c r="Y25" s="24">
        <f>Y23+Y24</f>
        <v/>
      </c>
      <c r="Z25" s="24">
        <f>Z23+Z24</f>
        <v/>
      </c>
      <c r="AA25" s="24">
        <f>AA23+AA24</f>
        <v/>
      </c>
      <c r="AB25" s="24">
        <f>AB23+AB24</f>
        <v/>
      </c>
      <c r="AC25" s="24">
        <f>AC23+AC24</f>
        <v/>
      </c>
      <c r="AD25" s="24">
        <f>AD23+AD24</f>
        <v/>
      </c>
      <c r="AE25" s="24">
        <f>AE23+AE24</f>
        <v/>
      </c>
      <c r="AF25" s="24">
        <f>AF23+AF24</f>
        <v/>
      </c>
      <c r="AG25" s="24">
        <f>AG23+AG24</f>
        <v/>
      </c>
      <c r="AH25" s="24">
        <f>AH23+AH24</f>
        <v/>
      </c>
      <c r="AI25" s="24">
        <f>AI23+AI24</f>
        <v/>
      </c>
      <c r="AJ25" s="24">
        <f>AJ23+AJ24</f>
        <v/>
      </c>
      <c r="AK25" s="24">
        <f>AK23+AK24</f>
        <v/>
      </c>
      <c r="AL25" s="24">
        <f>AL23+AL24</f>
        <v/>
      </c>
      <c r="AM25" s="24">
        <f>AM23+AM24</f>
        <v/>
      </c>
      <c r="AN25" s="24">
        <f>AN23+AN24</f>
        <v/>
      </c>
      <c r="AO25" s="24">
        <f>AO23+AO24</f>
        <v/>
      </c>
      <c r="AP25" s="24">
        <f>AP23+AP24</f>
        <v/>
      </c>
      <c r="AQ25" s="24">
        <f>AQ23+AQ24</f>
        <v/>
      </c>
      <c r="AR25" s="24">
        <f>AR23+AR24</f>
        <v/>
      </c>
      <c r="AS25" s="24">
        <f>AS23+AS24</f>
        <v/>
      </c>
      <c r="AT25" s="24">
        <f>AT23+AT24</f>
        <v/>
      </c>
      <c r="AU25" s="24">
        <f>AU23+AU24</f>
        <v/>
      </c>
      <c r="AV25" s="24">
        <f>AV23+AV24</f>
        <v/>
      </c>
      <c r="AW25" s="24">
        <f>AW23+AW24</f>
        <v/>
      </c>
      <c r="AX25" s="24">
        <f>AX23+AX24</f>
        <v/>
      </c>
      <c r="AY25" s="24">
        <f>AY23+AY24</f>
        <v/>
      </c>
      <c r="AZ25" s="24">
        <f>AZ23+AZ24</f>
        <v/>
      </c>
      <c r="BA25" s="24">
        <f>BA23+BA24</f>
        <v/>
      </c>
      <c r="BB25" s="24">
        <f>BB23+BB24</f>
        <v/>
      </c>
      <c r="BC25" s="24">
        <f>BC23+BC24</f>
        <v/>
      </c>
      <c r="BD25" s="24">
        <f>BD23+BD24</f>
        <v/>
      </c>
      <c r="BE25" s="24">
        <f>BE23+BE24</f>
        <v/>
      </c>
      <c r="BF25" s="24">
        <f>BF23+BF24</f>
        <v/>
      </c>
      <c r="BG25" s="24">
        <f>BG23+BG24</f>
        <v/>
      </c>
      <c r="BH25" s="24">
        <f>BH23+BH24</f>
        <v/>
      </c>
      <c r="BI25" s="24">
        <f>BI23+BI24</f>
        <v/>
      </c>
      <c r="BJ25" s="24">
        <f>BJ23+BJ24</f>
        <v/>
      </c>
      <c r="BK25" s="24">
        <f>BK23+BK24</f>
        <v/>
      </c>
    </row>
    <row r="26">
      <c r="A26" s="9" t="inlineStr">
        <is>
          <t>COBRANZA (incl. liquidación de inventario al cierre)</t>
        </is>
      </c>
      <c r="D26" s="24">
        <f>(1-p_fact_share)*IF(D$3-c_dso_m&gt;=1,INDEX($D$17:$BK$17,1,D$3-c_dso_m),0)*(1-p_baddebt)+p_fact_share*IF(D$3-1&gt;=1,INDEX($D$17:$BK$17,1,D$3-1),0)*(1-p_baddebt)*(1-p_fact_cost*c_dso_m)+IF(D$3=ROUND(p_stop_det,0)+1,INDEX($D$21:$BK$21,1,ROUND(p_stop_det,0))*p_inv_liq,0)</f>
        <v/>
      </c>
      <c r="E26" s="24">
        <f>(1-p_fact_share)*IF(E$3-c_dso_m&gt;=1,INDEX($D$17:$BK$17,1,E$3-c_dso_m),0)*(1-p_baddebt)+p_fact_share*IF(E$3-1&gt;=1,INDEX($D$17:$BK$17,1,E$3-1),0)*(1-p_baddebt)*(1-p_fact_cost*c_dso_m)+IF(E$3=ROUND(p_stop_det,0)+1,INDEX($D$21:$BK$21,1,ROUND(p_stop_det,0))*p_inv_liq,0)</f>
        <v/>
      </c>
      <c r="F26" s="24">
        <f>(1-p_fact_share)*IF(F$3-c_dso_m&gt;=1,INDEX($D$17:$BK$17,1,F$3-c_dso_m),0)*(1-p_baddebt)+p_fact_share*IF(F$3-1&gt;=1,INDEX($D$17:$BK$17,1,F$3-1),0)*(1-p_baddebt)*(1-p_fact_cost*c_dso_m)+IF(F$3=ROUND(p_stop_det,0)+1,INDEX($D$21:$BK$21,1,ROUND(p_stop_det,0))*p_inv_liq,0)</f>
        <v/>
      </c>
      <c r="G26" s="24">
        <f>(1-p_fact_share)*IF(G$3-c_dso_m&gt;=1,INDEX($D$17:$BK$17,1,G$3-c_dso_m),0)*(1-p_baddebt)+p_fact_share*IF(G$3-1&gt;=1,INDEX($D$17:$BK$17,1,G$3-1),0)*(1-p_baddebt)*(1-p_fact_cost*c_dso_m)+IF(G$3=ROUND(p_stop_det,0)+1,INDEX($D$21:$BK$21,1,ROUND(p_stop_det,0))*p_inv_liq,0)</f>
        <v/>
      </c>
      <c r="H26" s="24">
        <f>(1-p_fact_share)*IF(H$3-c_dso_m&gt;=1,INDEX($D$17:$BK$17,1,H$3-c_dso_m),0)*(1-p_baddebt)+p_fact_share*IF(H$3-1&gt;=1,INDEX($D$17:$BK$17,1,H$3-1),0)*(1-p_baddebt)*(1-p_fact_cost*c_dso_m)+IF(H$3=ROUND(p_stop_det,0)+1,INDEX($D$21:$BK$21,1,ROUND(p_stop_det,0))*p_inv_liq,0)</f>
        <v/>
      </c>
      <c r="I26" s="24">
        <f>(1-p_fact_share)*IF(I$3-c_dso_m&gt;=1,INDEX($D$17:$BK$17,1,I$3-c_dso_m),0)*(1-p_baddebt)+p_fact_share*IF(I$3-1&gt;=1,INDEX($D$17:$BK$17,1,I$3-1),0)*(1-p_baddebt)*(1-p_fact_cost*c_dso_m)+IF(I$3=ROUND(p_stop_det,0)+1,INDEX($D$21:$BK$21,1,ROUND(p_stop_det,0))*p_inv_liq,0)</f>
        <v/>
      </c>
      <c r="J26" s="24">
        <f>(1-p_fact_share)*IF(J$3-c_dso_m&gt;=1,INDEX($D$17:$BK$17,1,J$3-c_dso_m),0)*(1-p_baddebt)+p_fact_share*IF(J$3-1&gt;=1,INDEX($D$17:$BK$17,1,J$3-1),0)*(1-p_baddebt)*(1-p_fact_cost*c_dso_m)+IF(J$3=ROUND(p_stop_det,0)+1,INDEX($D$21:$BK$21,1,ROUND(p_stop_det,0))*p_inv_liq,0)</f>
        <v/>
      </c>
      <c r="K26" s="24">
        <f>(1-p_fact_share)*IF(K$3-c_dso_m&gt;=1,INDEX($D$17:$BK$17,1,K$3-c_dso_m),0)*(1-p_baddebt)+p_fact_share*IF(K$3-1&gt;=1,INDEX($D$17:$BK$17,1,K$3-1),0)*(1-p_baddebt)*(1-p_fact_cost*c_dso_m)+IF(K$3=ROUND(p_stop_det,0)+1,INDEX($D$21:$BK$21,1,ROUND(p_stop_det,0))*p_inv_liq,0)</f>
        <v/>
      </c>
      <c r="L26" s="24">
        <f>(1-p_fact_share)*IF(L$3-c_dso_m&gt;=1,INDEX($D$17:$BK$17,1,L$3-c_dso_m),0)*(1-p_baddebt)+p_fact_share*IF(L$3-1&gt;=1,INDEX($D$17:$BK$17,1,L$3-1),0)*(1-p_baddebt)*(1-p_fact_cost*c_dso_m)+IF(L$3=ROUND(p_stop_det,0)+1,INDEX($D$21:$BK$21,1,ROUND(p_stop_det,0))*p_inv_liq,0)</f>
        <v/>
      </c>
      <c r="M26" s="24">
        <f>(1-p_fact_share)*IF(M$3-c_dso_m&gt;=1,INDEX($D$17:$BK$17,1,M$3-c_dso_m),0)*(1-p_baddebt)+p_fact_share*IF(M$3-1&gt;=1,INDEX($D$17:$BK$17,1,M$3-1),0)*(1-p_baddebt)*(1-p_fact_cost*c_dso_m)+IF(M$3=ROUND(p_stop_det,0)+1,INDEX($D$21:$BK$21,1,ROUND(p_stop_det,0))*p_inv_liq,0)</f>
        <v/>
      </c>
      <c r="N26" s="24">
        <f>(1-p_fact_share)*IF(N$3-c_dso_m&gt;=1,INDEX($D$17:$BK$17,1,N$3-c_dso_m),0)*(1-p_baddebt)+p_fact_share*IF(N$3-1&gt;=1,INDEX($D$17:$BK$17,1,N$3-1),0)*(1-p_baddebt)*(1-p_fact_cost*c_dso_m)+IF(N$3=ROUND(p_stop_det,0)+1,INDEX($D$21:$BK$21,1,ROUND(p_stop_det,0))*p_inv_liq,0)</f>
        <v/>
      </c>
      <c r="O26" s="24">
        <f>(1-p_fact_share)*IF(O$3-c_dso_m&gt;=1,INDEX($D$17:$BK$17,1,O$3-c_dso_m),0)*(1-p_baddebt)+p_fact_share*IF(O$3-1&gt;=1,INDEX($D$17:$BK$17,1,O$3-1),0)*(1-p_baddebt)*(1-p_fact_cost*c_dso_m)+IF(O$3=ROUND(p_stop_det,0)+1,INDEX($D$21:$BK$21,1,ROUND(p_stop_det,0))*p_inv_liq,0)</f>
        <v/>
      </c>
      <c r="P26" s="24">
        <f>(1-p_fact_share)*IF(P$3-c_dso_m&gt;=1,INDEX($D$17:$BK$17,1,P$3-c_dso_m),0)*(1-p_baddebt)+p_fact_share*IF(P$3-1&gt;=1,INDEX($D$17:$BK$17,1,P$3-1),0)*(1-p_baddebt)*(1-p_fact_cost*c_dso_m)+IF(P$3=ROUND(p_stop_det,0)+1,INDEX($D$21:$BK$21,1,ROUND(p_stop_det,0))*p_inv_liq,0)</f>
        <v/>
      </c>
      <c r="Q26" s="24">
        <f>(1-p_fact_share)*IF(Q$3-c_dso_m&gt;=1,INDEX($D$17:$BK$17,1,Q$3-c_dso_m),0)*(1-p_baddebt)+p_fact_share*IF(Q$3-1&gt;=1,INDEX($D$17:$BK$17,1,Q$3-1),0)*(1-p_baddebt)*(1-p_fact_cost*c_dso_m)+IF(Q$3=ROUND(p_stop_det,0)+1,INDEX($D$21:$BK$21,1,ROUND(p_stop_det,0))*p_inv_liq,0)</f>
        <v/>
      </c>
      <c r="R26" s="24">
        <f>(1-p_fact_share)*IF(R$3-c_dso_m&gt;=1,INDEX($D$17:$BK$17,1,R$3-c_dso_m),0)*(1-p_baddebt)+p_fact_share*IF(R$3-1&gt;=1,INDEX($D$17:$BK$17,1,R$3-1),0)*(1-p_baddebt)*(1-p_fact_cost*c_dso_m)+IF(R$3=ROUND(p_stop_det,0)+1,INDEX($D$21:$BK$21,1,ROUND(p_stop_det,0))*p_inv_liq,0)</f>
        <v/>
      </c>
      <c r="S26" s="24">
        <f>(1-p_fact_share)*IF(S$3-c_dso_m&gt;=1,INDEX($D$17:$BK$17,1,S$3-c_dso_m),0)*(1-p_baddebt)+p_fact_share*IF(S$3-1&gt;=1,INDEX($D$17:$BK$17,1,S$3-1),0)*(1-p_baddebt)*(1-p_fact_cost*c_dso_m)+IF(S$3=ROUND(p_stop_det,0)+1,INDEX($D$21:$BK$21,1,ROUND(p_stop_det,0))*p_inv_liq,0)</f>
        <v/>
      </c>
      <c r="T26" s="24">
        <f>(1-p_fact_share)*IF(T$3-c_dso_m&gt;=1,INDEX($D$17:$BK$17,1,T$3-c_dso_m),0)*(1-p_baddebt)+p_fact_share*IF(T$3-1&gt;=1,INDEX($D$17:$BK$17,1,T$3-1),0)*(1-p_baddebt)*(1-p_fact_cost*c_dso_m)+IF(T$3=ROUND(p_stop_det,0)+1,INDEX($D$21:$BK$21,1,ROUND(p_stop_det,0))*p_inv_liq,0)</f>
        <v/>
      </c>
      <c r="U26" s="24">
        <f>(1-p_fact_share)*IF(U$3-c_dso_m&gt;=1,INDEX($D$17:$BK$17,1,U$3-c_dso_m),0)*(1-p_baddebt)+p_fact_share*IF(U$3-1&gt;=1,INDEX($D$17:$BK$17,1,U$3-1),0)*(1-p_baddebt)*(1-p_fact_cost*c_dso_m)+IF(U$3=ROUND(p_stop_det,0)+1,INDEX($D$21:$BK$21,1,ROUND(p_stop_det,0))*p_inv_liq,0)</f>
        <v/>
      </c>
      <c r="V26" s="24">
        <f>(1-p_fact_share)*IF(V$3-c_dso_m&gt;=1,INDEX($D$17:$BK$17,1,V$3-c_dso_m),0)*(1-p_baddebt)+p_fact_share*IF(V$3-1&gt;=1,INDEX($D$17:$BK$17,1,V$3-1),0)*(1-p_baddebt)*(1-p_fact_cost*c_dso_m)+IF(V$3=ROUND(p_stop_det,0)+1,INDEX($D$21:$BK$21,1,ROUND(p_stop_det,0))*p_inv_liq,0)</f>
        <v/>
      </c>
      <c r="W26" s="24">
        <f>(1-p_fact_share)*IF(W$3-c_dso_m&gt;=1,INDEX($D$17:$BK$17,1,W$3-c_dso_m),0)*(1-p_baddebt)+p_fact_share*IF(W$3-1&gt;=1,INDEX($D$17:$BK$17,1,W$3-1),0)*(1-p_baddebt)*(1-p_fact_cost*c_dso_m)+IF(W$3=ROUND(p_stop_det,0)+1,INDEX($D$21:$BK$21,1,ROUND(p_stop_det,0))*p_inv_liq,0)</f>
        <v/>
      </c>
      <c r="X26" s="24">
        <f>(1-p_fact_share)*IF(X$3-c_dso_m&gt;=1,INDEX($D$17:$BK$17,1,X$3-c_dso_m),0)*(1-p_baddebt)+p_fact_share*IF(X$3-1&gt;=1,INDEX($D$17:$BK$17,1,X$3-1),0)*(1-p_baddebt)*(1-p_fact_cost*c_dso_m)+IF(X$3=ROUND(p_stop_det,0)+1,INDEX($D$21:$BK$21,1,ROUND(p_stop_det,0))*p_inv_liq,0)</f>
        <v/>
      </c>
      <c r="Y26" s="24">
        <f>(1-p_fact_share)*IF(Y$3-c_dso_m&gt;=1,INDEX($D$17:$BK$17,1,Y$3-c_dso_m),0)*(1-p_baddebt)+p_fact_share*IF(Y$3-1&gt;=1,INDEX($D$17:$BK$17,1,Y$3-1),0)*(1-p_baddebt)*(1-p_fact_cost*c_dso_m)+IF(Y$3=ROUND(p_stop_det,0)+1,INDEX($D$21:$BK$21,1,ROUND(p_stop_det,0))*p_inv_liq,0)</f>
        <v/>
      </c>
      <c r="Z26" s="24">
        <f>(1-p_fact_share)*IF(Z$3-c_dso_m&gt;=1,INDEX($D$17:$BK$17,1,Z$3-c_dso_m),0)*(1-p_baddebt)+p_fact_share*IF(Z$3-1&gt;=1,INDEX($D$17:$BK$17,1,Z$3-1),0)*(1-p_baddebt)*(1-p_fact_cost*c_dso_m)+IF(Z$3=ROUND(p_stop_det,0)+1,INDEX($D$21:$BK$21,1,ROUND(p_stop_det,0))*p_inv_liq,0)</f>
        <v/>
      </c>
      <c r="AA26" s="24">
        <f>(1-p_fact_share)*IF(AA$3-c_dso_m&gt;=1,INDEX($D$17:$BK$17,1,AA$3-c_dso_m),0)*(1-p_baddebt)+p_fact_share*IF(AA$3-1&gt;=1,INDEX($D$17:$BK$17,1,AA$3-1),0)*(1-p_baddebt)*(1-p_fact_cost*c_dso_m)+IF(AA$3=ROUND(p_stop_det,0)+1,INDEX($D$21:$BK$21,1,ROUND(p_stop_det,0))*p_inv_liq,0)</f>
        <v/>
      </c>
      <c r="AB26" s="24">
        <f>(1-p_fact_share)*IF(AB$3-c_dso_m&gt;=1,INDEX($D$17:$BK$17,1,AB$3-c_dso_m),0)*(1-p_baddebt)+p_fact_share*IF(AB$3-1&gt;=1,INDEX($D$17:$BK$17,1,AB$3-1),0)*(1-p_baddebt)*(1-p_fact_cost*c_dso_m)+IF(AB$3=ROUND(p_stop_det,0)+1,INDEX($D$21:$BK$21,1,ROUND(p_stop_det,0))*p_inv_liq,0)</f>
        <v/>
      </c>
      <c r="AC26" s="24">
        <f>(1-p_fact_share)*IF(AC$3-c_dso_m&gt;=1,INDEX($D$17:$BK$17,1,AC$3-c_dso_m),0)*(1-p_baddebt)+p_fact_share*IF(AC$3-1&gt;=1,INDEX($D$17:$BK$17,1,AC$3-1),0)*(1-p_baddebt)*(1-p_fact_cost*c_dso_m)+IF(AC$3=ROUND(p_stop_det,0)+1,INDEX($D$21:$BK$21,1,ROUND(p_stop_det,0))*p_inv_liq,0)</f>
        <v/>
      </c>
      <c r="AD26" s="24">
        <f>(1-p_fact_share)*IF(AD$3-c_dso_m&gt;=1,INDEX($D$17:$BK$17,1,AD$3-c_dso_m),0)*(1-p_baddebt)+p_fact_share*IF(AD$3-1&gt;=1,INDEX($D$17:$BK$17,1,AD$3-1),0)*(1-p_baddebt)*(1-p_fact_cost*c_dso_m)+IF(AD$3=ROUND(p_stop_det,0)+1,INDEX($D$21:$BK$21,1,ROUND(p_stop_det,0))*p_inv_liq,0)</f>
        <v/>
      </c>
      <c r="AE26" s="24">
        <f>(1-p_fact_share)*IF(AE$3-c_dso_m&gt;=1,INDEX($D$17:$BK$17,1,AE$3-c_dso_m),0)*(1-p_baddebt)+p_fact_share*IF(AE$3-1&gt;=1,INDEX($D$17:$BK$17,1,AE$3-1),0)*(1-p_baddebt)*(1-p_fact_cost*c_dso_m)+IF(AE$3=ROUND(p_stop_det,0)+1,INDEX($D$21:$BK$21,1,ROUND(p_stop_det,0))*p_inv_liq,0)</f>
        <v/>
      </c>
      <c r="AF26" s="24">
        <f>(1-p_fact_share)*IF(AF$3-c_dso_m&gt;=1,INDEX($D$17:$BK$17,1,AF$3-c_dso_m),0)*(1-p_baddebt)+p_fact_share*IF(AF$3-1&gt;=1,INDEX($D$17:$BK$17,1,AF$3-1),0)*(1-p_baddebt)*(1-p_fact_cost*c_dso_m)+IF(AF$3=ROUND(p_stop_det,0)+1,INDEX($D$21:$BK$21,1,ROUND(p_stop_det,0))*p_inv_liq,0)</f>
        <v/>
      </c>
      <c r="AG26" s="24">
        <f>(1-p_fact_share)*IF(AG$3-c_dso_m&gt;=1,INDEX($D$17:$BK$17,1,AG$3-c_dso_m),0)*(1-p_baddebt)+p_fact_share*IF(AG$3-1&gt;=1,INDEX($D$17:$BK$17,1,AG$3-1),0)*(1-p_baddebt)*(1-p_fact_cost*c_dso_m)+IF(AG$3=ROUND(p_stop_det,0)+1,INDEX($D$21:$BK$21,1,ROUND(p_stop_det,0))*p_inv_liq,0)</f>
        <v/>
      </c>
      <c r="AH26" s="24">
        <f>(1-p_fact_share)*IF(AH$3-c_dso_m&gt;=1,INDEX($D$17:$BK$17,1,AH$3-c_dso_m),0)*(1-p_baddebt)+p_fact_share*IF(AH$3-1&gt;=1,INDEX($D$17:$BK$17,1,AH$3-1),0)*(1-p_baddebt)*(1-p_fact_cost*c_dso_m)+IF(AH$3=ROUND(p_stop_det,0)+1,INDEX($D$21:$BK$21,1,ROUND(p_stop_det,0))*p_inv_liq,0)</f>
        <v/>
      </c>
      <c r="AI26" s="24">
        <f>(1-p_fact_share)*IF(AI$3-c_dso_m&gt;=1,INDEX($D$17:$BK$17,1,AI$3-c_dso_m),0)*(1-p_baddebt)+p_fact_share*IF(AI$3-1&gt;=1,INDEX($D$17:$BK$17,1,AI$3-1),0)*(1-p_baddebt)*(1-p_fact_cost*c_dso_m)+IF(AI$3=ROUND(p_stop_det,0)+1,INDEX($D$21:$BK$21,1,ROUND(p_stop_det,0))*p_inv_liq,0)</f>
        <v/>
      </c>
      <c r="AJ26" s="24">
        <f>(1-p_fact_share)*IF(AJ$3-c_dso_m&gt;=1,INDEX($D$17:$BK$17,1,AJ$3-c_dso_m),0)*(1-p_baddebt)+p_fact_share*IF(AJ$3-1&gt;=1,INDEX($D$17:$BK$17,1,AJ$3-1),0)*(1-p_baddebt)*(1-p_fact_cost*c_dso_m)+IF(AJ$3=ROUND(p_stop_det,0)+1,INDEX($D$21:$BK$21,1,ROUND(p_stop_det,0))*p_inv_liq,0)</f>
        <v/>
      </c>
      <c r="AK26" s="24">
        <f>(1-p_fact_share)*IF(AK$3-c_dso_m&gt;=1,INDEX($D$17:$BK$17,1,AK$3-c_dso_m),0)*(1-p_baddebt)+p_fact_share*IF(AK$3-1&gt;=1,INDEX($D$17:$BK$17,1,AK$3-1),0)*(1-p_baddebt)*(1-p_fact_cost*c_dso_m)+IF(AK$3=ROUND(p_stop_det,0)+1,INDEX($D$21:$BK$21,1,ROUND(p_stop_det,0))*p_inv_liq,0)</f>
        <v/>
      </c>
      <c r="AL26" s="24">
        <f>(1-p_fact_share)*IF(AL$3-c_dso_m&gt;=1,INDEX($D$17:$BK$17,1,AL$3-c_dso_m),0)*(1-p_baddebt)+p_fact_share*IF(AL$3-1&gt;=1,INDEX($D$17:$BK$17,1,AL$3-1),0)*(1-p_baddebt)*(1-p_fact_cost*c_dso_m)+IF(AL$3=ROUND(p_stop_det,0)+1,INDEX($D$21:$BK$21,1,ROUND(p_stop_det,0))*p_inv_liq,0)</f>
        <v/>
      </c>
      <c r="AM26" s="24">
        <f>(1-p_fact_share)*IF(AM$3-c_dso_m&gt;=1,INDEX($D$17:$BK$17,1,AM$3-c_dso_m),0)*(1-p_baddebt)+p_fact_share*IF(AM$3-1&gt;=1,INDEX($D$17:$BK$17,1,AM$3-1),0)*(1-p_baddebt)*(1-p_fact_cost*c_dso_m)+IF(AM$3=ROUND(p_stop_det,0)+1,INDEX($D$21:$BK$21,1,ROUND(p_stop_det,0))*p_inv_liq,0)</f>
        <v/>
      </c>
      <c r="AN26" s="24">
        <f>(1-p_fact_share)*IF(AN$3-c_dso_m&gt;=1,INDEX($D$17:$BK$17,1,AN$3-c_dso_m),0)*(1-p_baddebt)+p_fact_share*IF(AN$3-1&gt;=1,INDEX($D$17:$BK$17,1,AN$3-1),0)*(1-p_baddebt)*(1-p_fact_cost*c_dso_m)+IF(AN$3=ROUND(p_stop_det,0)+1,INDEX($D$21:$BK$21,1,ROUND(p_stop_det,0))*p_inv_liq,0)</f>
        <v/>
      </c>
      <c r="AO26" s="24">
        <f>(1-p_fact_share)*IF(AO$3-c_dso_m&gt;=1,INDEX($D$17:$BK$17,1,AO$3-c_dso_m),0)*(1-p_baddebt)+p_fact_share*IF(AO$3-1&gt;=1,INDEX($D$17:$BK$17,1,AO$3-1),0)*(1-p_baddebt)*(1-p_fact_cost*c_dso_m)+IF(AO$3=ROUND(p_stop_det,0)+1,INDEX($D$21:$BK$21,1,ROUND(p_stop_det,0))*p_inv_liq,0)</f>
        <v/>
      </c>
      <c r="AP26" s="24">
        <f>(1-p_fact_share)*IF(AP$3-c_dso_m&gt;=1,INDEX($D$17:$BK$17,1,AP$3-c_dso_m),0)*(1-p_baddebt)+p_fact_share*IF(AP$3-1&gt;=1,INDEX($D$17:$BK$17,1,AP$3-1),0)*(1-p_baddebt)*(1-p_fact_cost*c_dso_m)+IF(AP$3=ROUND(p_stop_det,0)+1,INDEX($D$21:$BK$21,1,ROUND(p_stop_det,0))*p_inv_liq,0)</f>
        <v/>
      </c>
      <c r="AQ26" s="24">
        <f>(1-p_fact_share)*IF(AQ$3-c_dso_m&gt;=1,INDEX($D$17:$BK$17,1,AQ$3-c_dso_m),0)*(1-p_baddebt)+p_fact_share*IF(AQ$3-1&gt;=1,INDEX($D$17:$BK$17,1,AQ$3-1),0)*(1-p_baddebt)*(1-p_fact_cost*c_dso_m)+IF(AQ$3=ROUND(p_stop_det,0)+1,INDEX($D$21:$BK$21,1,ROUND(p_stop_det,0))*p_inv_liq,0)</f>
        <v/>
      </c>
      <c r="AR26" s="24">
        <f>(1-p_fact_share)*IF(AR$3-c_dso_m&gt;=1,INDEX($D$17:$BK$17,1,AR$3-c_dso_m),0)*(1-p_baddebt)+p_fact_share*IF(AR$3-1&gt;=1,INDEX($D$17:$BK$17,1,AR$3-1),0)*(1-p_baddebt)*(1-p_fact_cost*c_dso_m)+IF(AR$3=ROUND(p_stop_det,0)+1,INDEX($D$21:$BK$21,1,ROUND(p_stop_det,0))*p_inv_liq,0)</f>
        <v/>
      </c>
      <c r="AS26" s="24">
        <f>(1-p_fact_share)*IF(AS$3-c_dso_m&gt;=1,INDEX($D$17:$BK$17,1,AS$3-c_dso_m),0)*(1-p_baddebt)+p_fact_share*IF(AS$3-1&gt;=1,INDEX($D$17:$BK$17,1,AS$3-1),0)*(1-p_baddebt)*(1-p_fact_cost*c_dso_m)+IF(AS$3=ROUND(p_stop_det,0)+1,INDEX($D$21:$BK$21,1,ROUND(p_stop_det,0))*p_inv_liq,0)</f>
        <v/>
      </c>
      <c r="AT26" s="24">
        <f>(1-p_fact_share)*IF(AT$3-c_dso_m&gt;=1,INDEX($D$17:$BK$17,1,AT$3-c_dso_m),0)*(1-p_baddebt)+p_fact_share*IF(AT$3-1&gt;=1,INDEX($D$17:$BK$17,1,AT$3-1),0)*(1-p_baddebt)*(1-p_fact_cost*c_dso_m)+IF(AT$3=ROUND(p_stop_det,0)+1,INDEX($D$21:$BK$21,1,ROUND(p_stop_det,0))*p_inv_liq,0)</f>
        <v/>
      </c>
      <c r="AU26" s="24">
        <f>(1-p_fact_share)*IF(AU$3-c_dso_m&gt;=1,INDEX($D$17:$BK$17,1,AU$3-c_dso_m),0)*(1-p_baddebt)+p_fact_share*IF(AU$3-1&gt;=1,INDEX($D$17:$BK$17,1,AU$3-1),0)*(1-p_baddebt)*(1-p_fact_cost*c_dso_m)+IF(AU$3=ROUND(p_stop_det,0)+1,INDEX($D$21:$BK$21,1,ROUND(p_stop_det,0))*p_inv_liq,0)</f>
        <v/>
      </c>
      <c r="AV26" s="24">
        <f>(1-p_fact_share)*IF(AV$3-c_dso_m&gt;=1,INDEX($D$17:$BK$17,1,AV$3-c_dso_m),0)*(1-p_baddebt)+p_fact_share*IF(AV$3-1&gt;=1,INDEX($D$17:$BK$17,1,AV$3-1),0)*(1-p_baddebt)*(1-p_fact_cost*c_dso_m)+IF(AV$3=ROUND(p_stop_det,0)+1,INDEX($D$21:$BK$21,1,ROUND(p_stop_det,0))*p_inv_liq,0)</f>
        <v/>
      </c>
      <c r="AW26" s="24">
        <f>(1-p_fact_share)*IF(AW$3-c_dso_m&gt;=1,INDEX($D$17:$BK$17,1,AW$3-c_dso_m),0)*(1-p_baddebt)+p_fact_share*IF(AW$3-1&gt;=1,INDEX($D$17:$BK$17,1,AW$3-1),0)*(1-p_baddebt)*(1-p_fact_cost*c_dso_m)+IF(AW$3=ROUND(p_stop_det,0)+1,INDEX($D$21:$BK$21,1,ROUND(p_stop_det,0))*p_inv_liq,0)</f>
        <v/>
      </c>
      <c r="AX26" s="24">
        <f>(1-p_fact_share)*IF(AX$3-c_dso_m&gt;=1,INDEX($D$17:$BK$17,1,AX$3-c_dso_m),0)*(1-p_baddebt)+p_fact_share*IF(AX$3-1&gt;=1,INDEX($D$17:$BK$17,1,AX$3-1),0)*(1-p_baddebt)*(1-p_fact_cost*c_dso_m)+IF(AX$3=ROUND(p_stop_det,0)+1,INDEX($D$21:$BK$21,1,ROUND(p_stop_det,0))*p_inv_liq,0)</f>
        <v/>
      </c>
      <c r="AY26" s="24">
        <f>(1-p_fact_share)*IF(AY$3-c_dso_m&gt;=1,INDEX($D$17:$BK$17,1,AY$3-c_dso_m),0)*(1-p_baddebt)+p_fact_share*IF(AY$3-1&gt;=1,INDEX($D$17:$BK$17,1,AY$3-1),0)*(1-p_baddebt)*(1-p_fact_cost*c_dso_m)+IF(AY$3=ROUND(p_stop_det,0)+1,INDEX($D$21:$BK$21,1,ROUND(p_stop_det,0))*p_inv_liq,0)</f>
        <v/>
      </c>
      <c r="AZ26" s="24">
        <f>(1-p_fact_share)*IF(AZ$3-c_dso_m&gt;=1,INDEX($D$17:$BK$17,1,AZ$3-c_dso_m),0)*(1-p_baddebt)+p_fact_share*IF(AZ$3-1&gt;=1,INDEX($D$17:$BK$17,1,AZ$3-1),0)*(1-p_baddebt)*(1-p_fact_cost*c_dso_m)+IF(AZ$3=ROUND(p_stop_det,0)+1,INDEX($D$21:$BK$21,1,ROUND(p_stop_det,0))*p_inv_liq,0)</f>
        <v/>
      </c>
      <c r="BA26" s="24">
        <f>(1-p_fact_share)*IF(BA$3-c_dso_m&gt;=1,INDEX($D$17:$BK$17,1,BA$3-c_dso_m),0)*(1-p_baddebt)+p_fact_share*IF(BA$3-1&gt;=1,INDEX($D$17:$BK$17,1,BA$3-1),0)*(1-p_baddebt)*(1-p_fact_cost*c_dso_m)+IF(BA$3=ROUND(p_stop_det,0)+1,INDEX($D$21:$BK$21,1,ROUND(p_stop_det,0))*p_inv_liq,0)</f>
        <v/>
      </c>
      <c r="BB26" s="24">
        <f>(1-p_fact_share)*IF(BB$3-c_dso_m&gt;=1,INDEX($D$17:$BK$17,1,BB$3-c_dso_m),0)*(1-p_baddebt)+p_fact_share*IF(BB$3-1&gt;=1,INDEX($D$17:$BK$17,1,BB$3-1),0)*(1-p_baddebt)*(1-p_fact_cost*c_dso_m)+IF(BB$3=ROUND(p_stop_det,0)+1,INDEX($D$21:$BK$21,1,ROUND(p_stop_det,0))*p_inv_liq,0)</f>
        <v/>
      </c>
      <c r="BC26" s="24">
        <f>(1-p_fact_share)*IF(BC$3-c_dso_m&gt;=1,INDEX($D$17:$BK$17,1,BC$3-c_dso_m),0)*(1-p_baddebt)+p_fact_share*IF(BC$3-1&gt;=1,INDEX($D$17:$BK$17,1,BC$3-1),0)*(1-p_baddebt)*(1-p_fact_cost*c_dso_m)+IF(BC$3=ROUND(p_stop_det,0)+1,INDEX($D$21:$BK$21,1,ROUND(p_stop_det,0))*p_inv_liq,0)</f>
        <v/>
      </c>
      <c r="BD26" s="24">
        <f>(1-p_fact_share)*IF(BD$3-c_dso_m&gt;=1,INDEX($D$17:$BK$17,1,BD$3-c_dso_m),0)*(1-p_baddebt)+p_fact_share*IF(BD$3-1&gt;=1,INDEX($D$17:$BK$17,1,BD$3-1),0)*(1-p_baddebt)*(1-p_fact_cost*c_dso_m)+IF(BD$3=ROUND(p_stop_det,0)+1,INDEX($D$21:$BK$21,1,ROUND(p_stop_det,0))*p_inv_liq,0)</f>
        <v/>
      </c>
      <c r="BE26" s="24">
        <f>(1-p_fact_share)*IF(BE$3-c_dso_m&gt;=1,INDEX($D$17:$BK$17,1,BE$3-c_dso_m),0)*(1-p_baddebt)+p_fact_share*IF(BE$3-1&gt;=1,INDEX($D$17:$BK$17,1,BE$3-1),0)*(1-p_baddebt)*(1-p_fact_cost*c_dso_m)+IF(BE$3=ROUND(p_stop_det,0)+1,INDEX($D$21:$BK$21,1,ROUND(p_stop_det,0))*p_inv_liq,0)</f>
        <v/>
      </c>
      <c r="BF26" s="24">
        <f>(1-p_fact_share)*IF(BF$3-c_dso_m&gt;=1,INDEX($D$17:$BK$17,1,BF$3-c_dso_m),0)*(1-p_baddebt)+p_fact_share*IF(BF$3-1&gt;=1,INDEX($D$17:$BK$17,1,BF$3-1),0)*(1-p_baddebt)*(1-p_fact_cost*c_dso_m)+IF(BF$3=ROUND(p_stop_det,0)+1,INDEX($D$21:$BK$21,1,ROUND(p_stop_det,0))*p_inv_liq,0)</f>
        <v/>
      </c>
      <c r="BG26" s="24">
        <f>(1-p_fact_share)*IF(BG$3-c_dso_m&gt;=1,INDEX($D$17:$BK$17,1,BG$3-c_dso_m),0)*(1-p_baddebt)+p_fact_share*IF(BG$3-1&gt;=1,INDEX($D$17:$BK$17,1,BG$3-1),0)*(1-p_baddebt)*(1-p_fact_cost*c_dso_m)+IF(BG$3=ROUND(p_stop_det,0)+1,INDEX($D$21:$BK$21,1,ROUND(p_stop_det,0))*p_inv_liq,0)</f>
        <v/>
      </c>
      <c r="BH26" s="24">
        <f>(1-p_fact_share)*IF(BH$3-c_dso_m&gt;=1,INDEX($D$17:$BK$17,1,BH$3-c_dso_m),0)*(1-p_baddebt)+p_fact_share*IF(BH$3-1&gt;=1,INDEX($D$17:$BK$17,1,BH$3-1),0)*(1-p_baddebt)*(1-p_fact_cost*c_dso_m)+IF(BH$3=ROUND(p_stop_det,0)+1,INDEX($D$21:$BK$21,1,ROUND(p_stop_det,0))*p_inv_liq,0)</f>
        <v/>
      </c>
      <c r="BI26" s="24">
        <f>(1-p_fact_share)*IF(BI$3-c_dso_m&gt;=1,INDEX($D$17:$BK$17,1,BI$3-c_dso_m),0)*(1-p_baddebt)+p_fact_share*IF(BI$3-1&gt;=1,INDEX($D$17:$BK$17,1,BI$3-1),0)*(1-p_baddebt)*(1-p_fact_cost*c_dso_m)+IF(BI$3=ROUND(p_stop_det,0)+1,INDEX($D$21:$BK$21,1,ROUND(p_stop_det,0))*p_inv_liq,0)</f>
        <v/>
      </c>
      <c r="BJ26" s="24">
        <f>(1-p_fact_share)*IF(BJ$3-c_dso_m&gt;=1,INDEX($D$17:$BK$17,1,BJ$3-c_dso_m),0)*(1-p_baddebt)+p_fact_share*IF(BJ$3-1&gt;=1,INDEX($D$17:$BK$17,1,BJ$3-1),0)*(1-p_baddebt)*(1-p_fact_cost*c_dso_m)+IF(BJ$3=ROUND(p_stop_det,0)+1,INDEX($D$21:$BK$21,1,ROUND(p_stop_det,0))*p_inv_liq,0)</f>
        <v/>
      </c>
      <c r="BK26" s="24">
        <f>(1-p_fact_share)*IF(BK$3-c_dso_m&gt;=1,INDEX($D$17:$BK$17,1,BK$3-c_dso_m),0)*(1-p_baddebt)+p_fact_share*IF(BK$3-1&gt;=1,INDEX($D$17:$BK$17,1,BK$3-1),0)*(1-p_baddebt)*(1-p_fact_cost*c_dso_m)+IF(BK$3=ROUND(p_stop_det,0)+1,INDEX($D$21:$BK$21,1,ROUND(p_stop_det,0))*p_inv_liq,0)</f>
        <v/>
      </c>
    </row>
    <row r="27">
      <c r="A27" s="9" t="inlineStr">
        <is>
          <t>Gastos variables (distribución y multas)</t>
        </is>
      </c>
      <c r="D27" s="14">
        <f>(p_dist+p_penal)*D17</f>
        <v/>
      </c>
      <c r="E27" s="14">
        <f>(p_dist+p_penal)*E17</f>
        <v/>
      </c>
      <c r="F27" s="14">
        <f>(p_dist+p_penal)*F17</f>
        <v/>
      </c>
      <c r="G27" s="14">
        <f>(p_dist+p_penal)*G17</f>
        <v/>
      </c>
      <c r="H27" s="14">
        <f>(p_dist+p_penal)*H17</f>
        <v/>
      </c>
      <c r="I27" s="14">
        <f>(p_dist+p_penal)*I17</f>
        <v/>
      </c>
      <c r="J27" s="14">
        <f>(p_dist+p_penal)*J17</f>
        <v/>
      </c>
      <c r="K27" s="14">
        <f>(p_dist+p_penal)*K17</f>
        <v/>
      </c>
      <c r="L27" s="14">
        <f>(p_dist+p_penal)*L17</f>
        <v/>
      </c>
      <c r="M27" s="14">
        <f>(p_dist+p_penal)*M17</f>
        <v/>
      </c>
      <c r="N27" s="14">
        <f>(p_dist+p_penal)*N17</f>
        <v/>
      </c>
      <c r="O27" s="14">
        <f>(p_dist+p_penal)*O17</f>
        <v/>
      </c>
      <c r="P27" s="14">
        <f>(p_dist+p_penal)*P17</f>
        <v/>
      </c>
      <c r="Q27" s="14">
        <f>(p_dist+p_penal)*Q17</f>
        <v/>
      </c>
      <c r="R27" s="14">
        <f>(p_dist+p_penal)*R17</f>
        <v/>
      </c>
      <c r="S27" s="14">
        <f>(p_dist+p_penal)*S17</f>
        <v/>
      </c>
      <c r="T27" s="14">
        <f>(p_dist+p_penal)*T17</f>
        <v/>
      </c>
      <c r="U27" s="14">
        <f>(p_dist+p_penal)*U17</f>
        <v/>
      </c>
      <c r="V27" s="14">
        <f>(p_dist+p_penal)*V17</f>
        <v/>
      </c>
      <c r="W27" s="14">
        <f>(p_dist+p_penal)*W17</f>
        <v/>
      </c>
      <c r="X27" s="14">
        <f>(p_dist+p_penal)*X17</f>
        <v/>
      </c>
      <c r="Y27" s="14">
        <f>(p_dist+p_penal)*Y17</f>
        <v/>
      </c>
      <c r="Z27" s="14">
        <f>(p_dist+p_penal)*Z17</f>
        <v/>
      </c>
      <c r="AA27" s="14">
        <f>(p_dist+p_penal)*AA17</f>
        <v/>
      </c>
      <c r="AB27" s="14">
        <f>(p_dist+p_penal)*AB17</f>
        <v/>
      </c>
      <c r="AC27" s="14">
        <f>(p_dist+p_penal)*AC17</f>
        <v/>
      </c>
      <c r="AD27" s="14">
        <f>(p_dist+p_penal)*AD17</f>
        <v/>
      </c>
      <c r="AE27" s="14">
        <f>(p_dist+p_penal)*AE17</f>
        <v/>
      </c>
      <c r="AF27" s="14">
        <f>(p_dist+p_penal)*AF17</f>
        <v/>
      </c>
      <c r="AG27" s="14">
        <f>(p_dist+p_penal)*AG17</f>
        <v/>
      </c>
      <c r="AH27" s="14">
        <f>(p_dist+p_penal)*AH17</f>
        <v/>
      </c>
      <c r="AI27" s="14">
        <f>(p_dist+p_penal)*AI17</f>
        <v/>
      </c>
      <c r="AJ27" s="14">
        <f>(p_dist+p_penal)*AJ17</f>
        <v/>
      </c>
      <c r="AK27" s="14">
        <f>(p_dist+p_penal)*AK17</f>
        <v/>
      </c>
      <c r="AL27" s="14">
        <f>(p_dist+p_penal)*AL17</f>
        <v/>
      </c>
      <c r="AM27" s="14">
        <f>(p_dist+p_penal)*AM17</f>
        <v/>
      </c>
      <c r="AN27" s="14">
        <f>(p_dist+p_penal)*AN17</f>
        <v/>
      </c>
      <c r="AO27" s="14">
        <f>(p_dist+p_penal)*AO17</f>
        <v/>
      </c>
      <c r="AP27" s="14">
        <f>(p_dist+p_penal)*AP17</f>
        <v/>
      </c>
      <c r="AQ27" s="14">
        <f>(p_dist+p_penal)*AQ17</f>
        <v/>
      </c>
      <c r="AR27" s="14">
        <f>(p_dist+p_penal)*AR17</f>
        <v/>
      </c>
      <c r="AS27" s="14">
        <f>(p_dist+p_penal)*AS17</f>
        <v/>
      </c>
      <c r="AT27" s="14">
        <f>(p_dist+p_penal)*AT17</f>
        <v/>
      </c>
      <c r="AU27" s="14">
        <f>(p_dist+p_penal)*AU17</f>
        <v/>
      </c>
      <c r="AV27" s="14">
        <f>(p_dist+p_penal)*AV17</f>
        <v/>
      </c>
      <c r="AW27" s="14">
        <f>(p_dist+p_penal)*AW17</f>
        <v/>
      </c>
      <c r="AX27" s="14">
        <f>(p_dist+p_penal)*AX17</f>
        <v/>
      </c>
      <c r="AY27" s="14">
        <f>(p_dist+p_penal)*AY17</f>
        <v/>
      </c>
      <c r="AZ27" s="14">
        <f>(p_dist+p_penal)*AZ17</f>
        <v/>
      </c>
      <c r="BA27" s="14">
        <f>(p_dist+p_penal)*BA17</f>
        <v/>
      </c>
      <c r="BB27" s="14">
        <f>(p_dist+p_penal)*BB17</f>
        <v/>
      </c>
      <c r="BC27" s="14">
        <f>(p_dist+p_penal)*BC17</f>
        <v/>
      </c>
      <c r="BD27" s="14">
        <f>(p_dist+p_penal)*BD17</f>
        <v/>
      </c>
      <c r="BE27" s="14">
        <f>(p_dist+p_penal)*BE17</f>
        <v/>
      </c>
      <c r="BF27" s="14">
        <f>(p_dist+p_penal)*BF17</f>
        <v/>
      </c>
      <c r="BG27" s="14">
        <f>(p_dist+p_penal)*BG17</f>
        <v/>
      </c>
      <c r="BH27" s="14">
        <f>(p_dist+p_penal)*BH17</f>
        <v/>
      </c>
      <c r="BI27" s="14">
        <f>(p_dist+p_penal)*BI17</f>
        <v/>
      </c>
      <c r="BJ27" s="14">
        <f>(p_dist+p_penal)*BJ17</f>
        <v/>
      </c>
      <c r="BK27" s="14">
        <f>(p_dist+p_penal)*BK17</f>
        <v/>
      </c>
    </row>
    <row r="28">
      <c r="A28" s="9" t="inlineStr">
        <is>
          <t>Costos fijos</t>
        </is>
      </c>
      <c r="D28" s="14">
        <f>IF(D$3&gt;ROUND(p_stop_det,0)+3,0,SUMPRODUCT(f_used*(D$3&gt;=f_start)))</f>
        <v/>
      </c>
      <c r="E28" s="14">
        <f>IF(E$3&gt;ROUND(p_stop_det,0)+3,0,SUMPRODUCT(f_used*(E$3&gt;=f_start)))</f>
        <v/>
      </c>
      <c r="F28" s="14">
        <f>IF(F$3&gt;ROUND(p_stop_det,0)+3,0,SUMPRODUCT(f_used*(F$3&gt;=f_start)))</f>
        <v/>
      </c>
      <c r="G28" s="14">
        <f>IF(G$3&gt;ROUND(p_stop_det,0)+3,0,SUMPRODUCT(f_used*(G$3&gt;=f_start)))</f>
        <v/>
      </c>
      <c r="H28" s="14">
        <f>IF(H$3&gt;ROUND(p_stop_det,0)+3,0,SUMPRODUCT(f_used*(H$3&gt;=f_start)))</f>
        <v/>
      </c>
      <c r="I28" s="14">
        <f>IF(I$3&gt;ROUND(p_stop_det,0)+3,0,SUMPRODUCT(f_used*(I$3&gt;=f_start)))</f>
        <v/>
      </c>
      <c r="J28" s="14">
        <f>IF(J$3&gt;ROUND(p_stop_det,0)+3,0,SUMPRODUCT(f_used*(J$3&gt;=f_start)))</f>
        <v/>
      </c>
      <c r="K28" s="14">
        <f>IF(K$3&gt;ROUND(p_stop_det,0)+3,0,SUMPRODUCT(f_used*(K$3&gt;=f_start)))</f>
        <v/>
      </c>
      <c r="L28" s="14">
        <f>IF(L$3&gt;ROUND(p_stop_det,0)+3,0,SUMPRODUCT(f_used*(L$3&gt;=f_start)))</f>
        <v/>
      </c>
      <c r="M28" s="14">
        <f>IF(M$3&gt;ROUND(p_stop_det,0)+3,0,SUMPRODUCT(f_used*(M$3&gt;=f_start)))</f>
        <v/>
      </c>
      <c r="N28" s="14">
        <f>IF(N$3&gt;ROUND(p_stop_det,0)+3,0,SUMPRODUCT(f_used*(N$3&gt;=f_start)))</f>
        <v/>
      </c>
      <c r="O28" s="14">
        <f>IF(O$3&gt;ROUND(p_stop_det,0)+3,0,SUMPRODUCT(f_used*(O$3&gt;=f_start)))</f>
        <v/>
      </c>
      <c r="P28" s="14">
        <f>IF(P$3&gt;ROUND(p_stop_det,0)+3,0,SUMPRODUCT(f_used*(P$3&gt;=f_start)))</f>
        <v/>
      </c>
      <c r="Q28" s="14">
        <f>IF(Q$3&gt;ROUND(p_stop_det,0)+3,0,SUMPRODUCT(f_used*(Q$3&gt;=f_start)))</f>
        <v/>
      </c>
      <c r="R28" s="14">
        <f>IF(R$3&gt;ROUND(p_stop_det,0)+3,0,SUMPRODUCT(f_used*(R$3&gt;=f_start)))</f>
        <v/>
      </c>
      <c r="S28" s="14">
        <f>IF(S$3&gt;ROUND(p_stop_det,0)+3,0,SUMPRODUCT(f_used*(S$3&gt;=f_start)))</f>
        <v/>
      </c>
      <c r="T28" s="14">
        <f>IF(T$3&gt;ROUND(p_stop_det,0)+3,0,SUMPRODUCT(f_used*(T$3&gt;=f_start)))</f>
        <v/>
      </c>
      <c r="U28" s="14">
        <f>IF(U$3&gt;ROUND(p_stop_det,0)+3,0,SUMPRODUCT(f_used*(U$3&gt;=f_start)))</f>
        <v/>
      </c>
      <c r="V28" s="14">
        <f>IF(V$3&gt;ROUND(p_stop_det,0)+3,0,SUMPRODUCT(f_used*(V$3&gt;=f_start)))</f>
        <v/>
      </c>
      <c r="W28" s="14">
        <f>IF(W$3&gt;ROUND(p_stop_det,0)+3,0,SUMPRODUCT(f_used*(W$3&gt;=f_start)))</f>
        <v/>
      </c>
      <c r="X28" s="14">
        <f>IF(X$3&gt;ROUND(p_stop_det,0)+3,0,SUMPRODUCT(f_used*(X$3&gt;=f_start)))</f>
        <v/>
      </c>
      <c r="Y28" s="14">
        <f>IF(Y$3&gt;ROUND(p_stop_det,0)+3,0,SUMPRODUCT(f_used*(Y$3&gt;=f_start)))</f>
        <v/>
      </c>
      <c r="Z28" s="14">
        <f>IF(Z$3&gt;ROUND(p_stop_det,0)+3,0,SUMPRODUCT(f_used*(Z$3&gt;=f_start)))</f>
        <v/>
      </c>
      <c r="AA28" s="14">
        <f>IF(AA$3&gt;ROUND(p_stop_det,0)+3,0,SUMPRODUCT(f_used*(AA$3&gt;=f_start)))</f>
        <v/>
      </c>
      <c r="AB28" s="14">
        <f>IF(AB$3&gt;ROUND(p_stop_det,0)+3,0,SUMPRODUCT(f_used*(AB$3&gt;=f_start)))</f>
        <v/>
      </c>
      <c r="AC28" s="14">
        <f>IF(AC$3&gt;ROUND(p_stop_det,0)+3,0,SUMPRODUCT(f_used*(AC$3&gt;=f_start)))</f>
        <v/>
      </c>
      <c r="AD28" s="14">
        <f>IF(AD$3&gt;ROUND(p_stop_det,0)+3,0,SUMPRODUCT(f_used*(AD$3&gt;=f_start)))</f>
        <v/>
      </c>
      <c r="AE28" s="14">
        <f>IF(AE$3&gt;ROUND(p_stop_det,0)+3,0,SUMPRODUCT(f_used*(AE$3&gt;=f_start)))</f>
        <v/>
      </c>
      <c r="AF28" s="14">
        <f>IF(AF$3&gt;ROUND(p_stop_det,0)+3,0,SUMPRODUCT(f_used*(AF$3&gt;=f_start)))</f>
        <v/>
      </c>
      <c r="AG28" s="14">
        <f>IF(AG$3&gt;ROUND(p_stop_det,0)+3,0,SUMPRODUCT(f_used*(AG$3&gt;=f_start)))</f>
        <v/>
      </c>
      <c r="AH28" s="14">
        <f>IF(AH$3&gt;ROUND(p_stop_det,0)+3,0,SUMPRODUCT(f_used*(AH$3&gt;=f_start)))</f>
        <v/>
      </c>
      <c r="AI28" s="14">
        <f>IF(AI$3&gt;ROUND(p_stop_det,0)+3,0,SUMPRODUCT(f_used*(AI$3&gt;=f_start)))</f>
        <v/>
      </c>
      <c r="AJ28" s="14">
        <f>IF(AJ$3&gt;ROUND(p_stop_det,0)+3,0,SUMPRODUCT(f_used*(AJ$3&gt;=f_start)))</f>
        <v/>
      </c>
      <c r="AK28" s="14">
        <f>IF(AK$3&gt;ROUND(p_stop_det,0)+3,0,SUMPRODUCT(f_used*(AK$3&gt;=f_start)))</f>
        <v/>
      </c>
      <c r="AL28" s="14">
        <f>IF(AL$3&gt;ROUND(p_stop_det,0)+3,0,SUMPRODUCT(f_used*(AL$3&gt;=f_start)))</f>
        <v/>
      </c>
      <c r="AM28" s="14">
        <f>IF(AM$3&gt;ROUND(p_stop_det,0)+3,0,SUMPRODUCT(f_used*(AM$3&gt;=f_start)))</f>
        <v/>
      </c>
      <c r="AN28" s="14">
        <f>IF(AN$3&gt;ROUND(p_stop_det,0)+3,0,SUMPRODUCT(f_used*(AN$3&gt;=f_start)))</f>
        <v/>
      </c>
      <c r="AO28" s="14">
        <f>IF(AO$3&gt;ROUND(p_stop_det,0)+3,0,SUMPRODUCT(f_used*(AO$3&gt;=f_start)))</f>
        <v/>
      </c>
      <c r="AP28" s="14">
        <f>IF(AP$3&gt;ROUND(p_stop_det,0)+3,0,SUMPRODUCT(f_used*(AP$3&gt;=f_start)))</f>
        <v/>
      </c>
      <c r="AQ28" s="14">
        <f>IF(AQ$3&gt;ROUND(p_stop_det,0)+3,0,SUMPRODUCT(f_used*(AQ$3&gt;=f_start)))</f>
        <v/>
      </c>
      <c r="AR28" s="14">
        <f>IF(AR$3&gt;ROUND(p_stop_det,0)+3,0,SUMPRODUCT(f_used*(AR$3&gt;=f_start)))</f>
        <v/>
      </c>
      <c r="AS28" s="14">
        <f>IF(AS$3&gt;ROUND(p_stop_det,0)+3,0,SUMPRODUCT(f_used*(AS$3&gt;=f_start)))</f>
        <v/>
      </c>
      <c r="AT28" s="14">
        <f>IF(AT$3&gt;ROUND(p_stop_det,0)+3,0,SUMPRODUCT(f_used*(AT$3&gt;=f_start)))</f>
        <v/>
      </c>
      <c r="AU28" s="14">
        <f>IF(AU$3&gt;ROUND(p_stop_det,0)+3,0,SUMPRODUCT(f_used*(AU$3&gt;=f_start)))</f>
        <v/>
      </c>
      <c r="AV28" s="14">
        <f>IF(AV$3&gt;ROUND(p_stop_det,0)+3,0,SUMPRODUCT(f_used*(AV$3&gt;=f_start)))</f>
        <v/>
      </c>
      <c r="AW28" s="14">
        <f>IF(AW$3&gt;ROUND(p_stop_det,0)+3,0,SUMPRODUCT(f_used*(AW$3&gt;=f_start)))</f>
        <v/>
      </c>
      <c r="AX28" s="14">
        <f>IF(AX$3&gt;ROUND(p_stop_det,0)+3,0,SUMPRODUCT(f_used*(AX$3&gt;=f_start)))</f>
        <v/>
      </c>
      <c r="AY28" s="14">
        <f>IF(AY$3&gt;ROUND(p_stop_det,0)+3,0,SUMPRODUCT(f_used*(AY$3&gt;=f_start)))</f>
        <v/>
      </c>
      <c r="AZ28" s="14">
        <f>IF(AZ$3&gt;ROUND(p_stop_det,0)+3,0,SUMPRODUCT(f_used*(AZ$3&gt;=f_start)))</f>
        <v/>
      </c>
      <c r="BA28" s="14">
        <f>IF(BA$3&gt;ROUND(p_stop_det,0)+3,0,SUMPRODUCT(f_used*(BA$3&gt;=f_start)))</f>
        <v/>
      </c>
      <c r="BB28" s="14">
        <f>IF(BB$3&gt;ROUND(p_stop_det,0)+3,0,SUMPRODUCT(f_used*(BB$3&gt;=f_start)))</f>
        <v/>
      </c>
      <c r="BC28" s="14">
        <f>IF(BC$3&gt;ROUND(p_stop_det,0)+3,0,SUMPRODUCT(f_used*(BC$3&gt;=f_start)))</f>
        <v/>
      </c>
      <c r="BD28" s="14">
        <f>IF(BD$3&gt;ROUND(p_stop_det,0)+3,0,SUMPRODUCT(f_used*(BD$3&gt;=f_start)))</f>
        <v/>
      </c>
      <c r="BE28" s="14">
        <f>IF(BE$3&gt;ROUND(p_stop_det,0)+3,0,SUMPRODUCT(f_used*(BE$3&gt;=f_start)))</f>
        <v/>
      </c>
      <c r="BF28" s="14">
        <f>IF(BF$3&gt;ROUND(p_stop_det,0)+3,0,SUMPRODUCT(f_used*(BF$3&gt;=f_start)))</f>
        <v/>
      </c>
      <c r="BG28" s="14">
        <f>IF(BG$3&gt;ROUND(p_stop_det,0)+3,0,SUMPRODUCT(f_used*(BG$3&gt;=f_start)))</f>
        <v/>
      </c>
      <c r="BH28" s="14">
        <f>IF(BH$3&gt;ROUND(p_stop_det,0)+3,0,SUMPRODUCT(f_used*(BH$3&gt;=f_start)))</f>
        <v/>
      </c>
      <c r="BI28" s="14">
        <f>IF(BI$3&gt;ROUND(p_stop_det,0)+3,0,SUMPRODUCT(f_used*(BI$3&gt;=f_start)))</f>
        <v/>
      </c>
      <c r="BJ28" s="14">
        <f>IF(BJ$3&gt;ROUND(p_stop_det,0)+3,0,SUMPRODUCT(f_used*(BJ$3&gt;=f_start)))</f>
        <v/>
      </c>
      <c r="BK28" s="14">
        <f>IF(BK$3&gt;ROUND(p_stop_det,0)+3,0,SUMPRODUCT(f_used*(BK$3&gt;=f_start)))</f>
        <v/>
      </c>
    </row>
    <row r="29">
      <c r="A29" s="9" t="inlineStr">
        <is>
          <t>Análisis posregistro</t>
        </is>
      </c>
      <c r="D29" s="14">
        <f>IF(D$3&gt;ROUND(p_stop_det,0)+3,0,c_n_reg1*p_postreg/12*IF(D$3&gt;=c_reg_m,1,0)+c_n_reg2*p_postreg/12*IF(D$3&gt;=c_m2+c_rt,1,0))</f>
        <v/>
      </c>
      <c r="E29" s="14">
        <f>IF(E$3&gt;ROUND(p_stop_det,0)+3,0,c_n_reg1*p_postreg/12*IF(E$3&gt;=c_reg_m,1,0)+c_n_reg2*p_postreg/12*IF(E$3&gt;=c_m2+c_rt,1,0))</f>
        <v/>
      </c>
      <c r="F29" s="14">
        <f>IF(F$3&gt;ROUND(p_stop_det,0)+3,0,c_n_reg1*p_postreg/12*IF(F$3&gt;=c_reg_m,1,0)+c_n_reg2*p_postreg/12*IF(F$3&gt;=c_m2+c_rt,1,0))</f>
        <v/>
      </c>
      <c r="G29" s="14">
        <f>IF(G$3&gt;ROUND(p_stop_det,0)+3,0,c_n_reg1*p_postreg/12*IF(G$3&gt;=c_reg_m,1,0)+c_n_reg2*p_postreg/12*IF(G$3&gt;=c_m2+c_rt,1,0))</f>
        <v/>
      </c>
      <c r="H29" s="14">
        <f>IF(H$3&gt;ROUND(p_stop_det,0)+3,0,c_n_reg1*p_postreg/12*IF(H$3&gt;=c_reg_m,1,0)+c_n_reg2*p_postreg/12*IF(H$3&gt;=c_m2+c_rt,1,0))</f>
        <v/>
      </c>
      <c r="I29" s="14">
        <f>IF(I$3&gt;ROUND(p_stop_det,0)+3,0,c_n_reg1*p_postreg/12*IF(I$3&gt;=c_reg_m,1,0)+c_n_reg2*p_postreg/12*IF(I$3&gt;=c_m2+c_rt,1,0))</f>
        <v/>
      </c>
      <c r="J29" s="14">
        <f>IF(J$3&gt;ROUND(p_stop_det,0)+3,0,c_n_reg1*p_postreg/12*IF(J$3&gt;=c_reg_m,1,0)+c_n_reg2*p_postreg/12*IF(J$3&gt;=c_m2+c_rt,1,0))</f>
        <v/>
      </c>
      <c r="K29" s="14">
        <f>IF(K$3&gt;ROUND(p_stop_det,0)+3,0,c_n_reg1*p_postreg/12*IF(K$3&gt;=c_reg_m,1,0)+c_n_reg2*p_postreg/12*IF(K$3&gt;=c_m2+c_rt,1,0))</f>
        <v/>
      </c>
      <c r="L29" s="14">
        <f>IF(L$3&gt;ROUND(p_stop_det,0)+3,0,c_n_reg1*p_postreg/12*IF(L$3&gt;=c_reg_m,1,0)+c_n_reg2*p_postreg/12*IF(L$3&gt;=c_m2+c_rt,1,0))</f>
        <v/>
      </c>
      <c r="M29" s="14">
        <f>IF(M$3&gt;ROUND(p_stop_det,0)+3,0,c_n_reg1*p_postreg/12*IF(M$3&gt;=c_reg_m,1,0)+c_n_reg2*p_postreg/12*IF(M$3&gt;=c_m2+c_rt,1,0))</f>
        <v/>
      </c>
      <c r="N29" s="14">
        <f>IF(N$3&gt;ROUND(p_stop_det,0)+3,0,c_n_reg1*p_postreg/12*IF(N$3&gt;=c_reg_m,1,0)+c_n_reg2*p_postreg/12*IF(N$3&gt;=c_m2+c_rt,1,0))</f>
        <v/>
      </c>
      <c r="O29" s="14">
        <f>IF(O$3&gt;ROUND(p_stop_det,0)+3,0,c_n_reg1*p_postreg/12*IF(O$3&gt;=c_reg_m,1,0)+c_n_reg2*p_postreg/12*IF(O$3&gt;=c_m2+c_rt,1,0))</f>
        <v/>
      </c>
      <c r="P29" s="14">
        <f>IF(P$3&gt;ROUND(p_stop_det,0)+3,0,c_n_reg1*p_postreg/12*IF(P$3&gt;=c_reg_m,1,0)+c_n_reg2*p_postreg/12*IF(P$3&gt;=c_m2+c_rt,1,0))</f>
        <v/>
      </c>
      <c r="Q29" s="14">
        <f>IF(Q$3&gt;ROUND(p_stop_det,0)+3,0,c_n_reg1*p_postreg/12*IF(Q$3&gt;=c_reg_m,1,0)+c_n_reg2*p_postreg/12*IF(Q$3&gt;=c_m2+c_rt,1,0))</f>
        <v/>
      </c>
      <c r="R29" s="14">
        <f>IF(R$3&gt;ROUND(p_stop_det,0)+3,0,c_n_reg1*p_postreg/12*IF(R$3&gt;=c_reg_m,1,0)+c_n_reg2*p_postreg/12*IF(R$3&gt;=c_m2+c_rt,1,0))</f>
        <v/>
      </c>
      <c r="S29" s="14">
        <f>IF(S$3&gt;ROUND(p_stop_det,0)+3,0,c_n_reg1*p_postreg/12*IF(S$3&gt;=c_reg_m,1,0)+c_n_reg2*p_postreg/12*IF(S$3&gt;=c_m2+c_rt,1,0))</f>
        <v/>
      </c>
      <c r="T29" s="14">
        <f>IF(T$3&gt;ROUND(p_stop_det,0)+3,0,c_n_reg1*p_postreg/12*IF(T$3&gt;=c_reg_m,1,0)+c_n_reg2*p_postreg/12*IF(T$3&gt;=c_m2+c_rt,1,0))</f>
        <v/>
      </c>
      <c r="U29" s="14">
        <f>IF(U$3&gt;ROUND(p_stop_det,0)+3,0,c_n_reg1*p_postreg/12*IF(U$3&gt;=c_reg_m,1,0)+c_n_reg2*p_postreg/12*IF(U$3&gt;=c_m2+c_rt,1,0))</f>
        <v/>
      </c>
      <c r="V29" s="14">
        <f>IF(V$3&gt;ROUND(p_stop_det,0)+3,0,c_n_reg1*p_postreg/12*IF(V$3&gt;=c_reg_m,1,0)+c_n_reg2*p_postreg/12*IF(V$3&gt;=c_m2+c_rt,1,0))</f>
        <v/>
      </c>
      <c r="W29" s="14">
        <f>IF(W$3&gt;ROUND(p_stop_det,0)+3,0,c_n_reg1*p_postreg/12*IF(W$3&gt;=c_reg_m,1,0)+c_n_reg2*p_postreg/12*IF(W$3&gt;=c_m2+c_rt,1,0))</f>
        <v/>
      </c>
      <c r="X29" s="14">
        <f>IF(X$3&gt;ROUND(p_stop_det,0)+3,0,c_n_reg1*p_postreg/12*IF(X$3&gt;=c_reg_m,1,0)+c_n_reg2*p_postreg/12*IF(X$3&gt;=c_m2+c_rt,1,0))</f>
        <v/>
      </c>
      <c r="Y29" s="14">
        <f>IF(Y$3&gt;ROUND(p_stop_det,0)+3,0,c_n_reg1*p_postreg/12*IF(Y$3&gt;=c_reg_m,1,0)+c_n_reg2*p_postreg/12*IF(Y$3&gt;=c_m2+c_rt,1,0))</f>
        <v/>
      </c>
      <c r="Z29" s="14">
        <f>IF(Z$3&gt;ROUND(p_stop_det,0)+3,0,c_n_reg1*p_postreg/12*IF(Z$3&gt;=c_reg_m,1,0)+c_n_reg2*p_postreg/12*IF(Z$3&gt;=c_m2+c_rt,1,0))</f>
        <v/>
      </c>
      <c r="AA29" s="14">
        <f>IF(AA$3&gt;ROUND(p_stop_det,0)+3,0,c_n_reg1*p_postreg/12*IF(AA$3&gt;=c_reg_m,1,0)+c_n_reg2*p_postreg/12*IF(AA$3&gt;=c_m2+c_rt,1,0))</f>
        <v/>
      </c>
      <c r="AB29" s="14">
        <f>IF(AB$3&gt;ROUND(p_stop_det,0)+3,0,c_n_reg1*p_postreg/12*IF(AB$3&gt;=c_reg_m,1,0)+c_n_reg2*p_postreg/12*IF(AB$3&gt;=c_m2+c_rt,1,0))</f>
        <v/>
      </c>
      <c r="AC29" s="14">
        <f>IF(AC$3&gt;ROUND(p_stop_det,0)+3,0,c_n_reg1*p_postreg/12*IF(AC$3&gt;=c_reg_m,1,0)+c_n_reg2*p_postreg/12*IF(AC$3&gt;=c_m2+c_rt,1,0))</f>
        <v/>
      </c>
      <c r="AD29" s="14">
        <f>IF(AD$3&gt;ROUND(p_stop_det,0)+3,0,c_n_reg1*p_postreg/12*IF(AD$3&gt;=c_reg_m,1,0)+c_n_reg2*p_postreg/12*IF(AD$3&gt;=c_m2+c_rt,1,0))</f>
        <v/>
      </c>
      <c r="AE29" s="14">
        <f>IF(AE$3&gt;ROUND(p_stop_det,0)+3,0,c_n_reg1*p_postreg/12*IF(AE$3&gt;=c_reg_m,1,0)+c_n_reg2*p_postreg/12*IF(AE$3&gt;=c_m2+c_rt,1,0))</f>
        <v/>
      </c>
      <c r="AF29" s="14">
        <f>IF(AF$3&gt;ROUND(p_stop_det,0)+3,0,c_n_reg1*p_postreg/12*IF(AF$3&gt;=c_reg_m,1,0)+c_n_reg2*p_postreg/12*IF(AF$3&gt;=c_m2+c_rt,1,0))</f>
        <v/>
      </c>
      <c r="AG29" s="14">
        <f>IF(AG$3&gt;ROUND(p_stop_det,0)+3,0,c_n_reg1*p_postreg/12*IF(AG$3&gt;=c_reg_m,1,0)+c_n_reg2*p_postreg/12*IF(AG$3&gt;=c_m2+c_rt,1,0))</f>
        <v/>
      </c>
      <c r="AH29" s="14">
        <f>IF(AH$3&gt;ROUND(p_stop_det,0)+3,0,c_n_reg1*p_postreg/12*IF(AH$3&gt;=c_reg_m,1,0)+c_n_reg2*p_postreg/12*IF(AH$3&gt;=c_m2+c_rt,1,0))</f>
        <v/>
      </c>
      <c r="AI29" s="14">
        <f>IF(AI$3&gt;ROUND(p_stop_det,0)+3,0,c_n_reg1*p_postreg/12*IF(AI$3&gt;=c_reg_m,1,0)+c_n_reg2*p_postreg/12*IF(AI$3&gt;=c_m2+c_rt,1,0))</f>
        <v/>
      </c>
      <c r="AJ29" s="14">
        <f>IF(AJ$3&gt;ROUND(p_stop_det,0)+3,0,c_n_reg1*p_postreg/12*IF(AJ$3&gt;=c_reg_m,1,0)+c_n_reg2*p_postreg/12*IF(AJ$3&gt;=c_m2+c_rt,1,0))</f>
        <v/>
      </c>
      <c r="AK29" s="14">
        <f>IF(AK$3&gt;ROUND(p_stop_det,0)+3,0,c_n_reg1*p_postreg/12*IF(AK$3&gt;=c_reg_m,1,0)+c_n_reg2*p_postreg/12*IF(AK$3&gt;=c_m2+c_rt,1,0))</f>
        <v/>
      </c>
      <c r="AL29" s="14">
        <f>IF(AL$3&gt;ROUND(p_stop_det,0)+3,0,c_n_reg1*p_postreg/12*IF(AL$3&gt;=c_reg_m,1,0)+c_n_reg2*p_postreg/12*IF(AL$3&gt;=c_m2+c_rt,1,0))</f>
        <v/>
      </c>
      <c r="AM29" s="14">
        <f>IF(AM$3&gt;ROUND(p_stop_det,0)+3,0,c_n_reg1*p_postreg/12*IF(AM$3&gt;=c_reg_m,1,0)+c_n_reg2*p_postreg/12*IF(AM$3&gt;=c_m2+c_rt,1,0))</f>
        <v/>
      </c>
      <c r="AN29" s="14">
        <f>IF(AN$3&gt;ROUND(p_stop_det,0)+3,0,c_n_reg1*p_postreg/12*IF(AN$3&gt;=c_reg_m,1,0)+c_n_reg2*p_postreg/12*IF(AN$3&gt;=c_m2+c_rt,1,0))</f>
        <v/>
      </c>
      <c r="AO29" s="14">
        <f>IF(AO$3&gt;ROUND(p_stop_det,0)+3,0,c_n_reg1*p_postreg/12*IF(AO$3&gt;=c_reg_m,1,0)+c_n_reg2*p_postreg/12*IF(AO$3&gt;=c_m2+c_rt,1,0))</f>
        <v/>
      </c>
      <c r="AP29" s="14">
        <f>IF(AP$3&gt;ROUND(p_stop_det,0)+3,0,c_n_reg1*p_postreg/12*IF(AP$3&gt;=c_reg_m,1,0)+c_n_reg2*p_postreg/12*IF(AP$3&gt;=c_m2+c_rt,1,0))</f>
        <v/>
      </c>
      <c r="AQ29" s="14">
        <f>IF(AQ$3&gt;ROUND(p_stop_det,0)+3,0,c_n_reg1*p_postreg/12*IF(AQ$3&gt;=c_reg_m,1,0)+c_n_reg2*p_postreg/12*IF(AQ$3&gt;=c_m2+c_rt,1,0))</f>
        <v/>
      </c>
      <c r="AR29" s="14">
        <f>IF(AR$3&gt;ROUND(p_stop_det,0)+3,0,c_n_reg1*p_postreg/12*IF(AR$3&gt;=c_reg_m,1,0)+c_n_reg2*p_postreg/12*IF(AR$3&gt;=c_m2+c_rt,1,0))</f>
        <v/>
      </c>
      <c r="AS29" s="14">
        <f>IF(AS$3&gt;ROUND(p_stop_det,0)+3,0,c_n_reg1*p_postreg/12*IF(AS$3&gt;=c_reg_m,1,0)+c_n_reg2*p_postreg/12*IF(AS$3&gt;=c_m2+c_rt,1,0))</f>
        <v/>
      </c>
      <c r="AT29" s="14">
        <f>IF(AT$3&gt;ROUND(p_stop_det,0)+3,0,c_n_reg1*p_postreg/12*IF(AT$3&gt;=c_reg_m,1,0)+c_n_reg2*p_postreg/12*IF(AT$3&gt;=c_m2+c_rt,1,0))</f>
        <v/>
      </c>
      <c r="AU29" s="14">
        <f>IF(AU$3&gt;ROUND(p_stop_det,0)+3,0,c_n_reg1*p_postreg/12*IF(AU$3&gt;=c_reg_m,1,0)+c_n_reg2*p_postreg/12*IF(AU$3&gt;=c_m2+c_rt,1,0))</f>
        <v/>
      </c>
      <c r="AV29" s="14">
        <f>IF(AV$3&gt;ROUND(p_stop_det,0)+3,0,c_n_reg1*p_postreg/12*IF(AV$3&gt;=c_reg_m,1,0)+c_n_reg2*p_postreg/12*IF(AV$3&gt;=c_m2+c_rt,1,0))</f>
        <v/>
      </c>
      <c r="AW29" s="14">
        <f>IF(AW$3&gt;ROUND(p_stop_det,0)+3,0,c_n_reg1*p_postreg/12*IF(AW$3&gt;=c_reg_m,1,0)+c_n_reg2*p_postreg/12*IF(AW$3&gt;=c_m2+c_rt,1,0))</f>
        <v/>
      </c>
      <c r="AX29" s="14">
        <f>IF(AX$3&gt;ROUND(p_stop_det,0)+3,0,c_n_reg1*p_postreg/12*IF(AX$3&gt;=c_reg_m,1,0)+c_n_reg2*p_postreg/12*IF(AX$3&gt;=c_m2+c_rt,1,0))</f>
        <v/>
      </c>
      <c r="AY29" s="14">
        <f>IF(AY$3&gt;ROUND(p_stop_det,0)+3,0,c_n_reg1*p_postreg/12*IF(AY$3&gt;=c_reg_m,1,0)+c_n_reg2*p_postreg/12*IF(AY$3&gt;=c_m2+c_rt,1,0))</f>
        <v/>
      </c>
      <c r="AZ29" s="14">
        <f>IF(AZ$3&gt;ROUND(p_stop_det,0)+3,0,c_n_reg1*p_postreg/12*IF(AZ$3&gt;=c_reg_m,1,0)+c_n_reg2*p_postreg/12*IF(AZ$3&gt;=c_m2+c_rt,1,0))</f>
        <v/>
      </c>
      <c r="BA29" s="14">
        <f>IF(BA$3&gt;ROUND(p_stop_det,0)+3,0,c_n_reg1*p_postreg/12*IF(BA$3&gt;=c_reg_m,1,0)+c_n_reg2*p_postreg/12*IF(BA$3&gt;=c_m2+c_rt,1,0))</f>
        <v/>
      </c>
      <c r="BB29" s="14">
        <f>IF(BB$3&gt;ROUND(p_stop_det,0)+3,0,c_n_reg1*p_postreg/12*IF(BB$3&gt;=c_reg_m,1,0)+c_n_reg2*p_postreg/12*IF(BB$3&gt;=c_m2+c_rt,1,0))</f>
        <v/>
      </c>
      <c r="BC29" s="14">
        <f>IF(BC$3&gt;ROUND(p_stop_det,0)+3,0,c_n_reg1*p_postreg/12*IF(BC$3&gt;=c_reg_m,1,0)+c_n_reg2*p_postreg/12*IF(BC$3&gt;=c_m2+c_rt,1,0))</f>
        <v/>
      </c>
      <c r="BD29" s="14">
        <f>IF(BD$3&gt;ROUND(p_stop_det,0)+3,0,c_n_reg1*p_postreg/12*IF(BD$3&gt;=c_reg_m,1,0)+c_n_reg2*p_postreg/12*IF(BD$3&gt;=c_m2+c_rt,1,0))</f>
        <v/>
      </c>
      <c r="BE29" s="14">
        <f>IF(BE$3&gt;ROUND(p_stop_det,0)+3,0,c_n_reg1*p_postreg/12*IF(BE$3&gt;=c_reg_m,1,0)+c_n_reg2*p_postreg/12*IF(BE$3&gt;=c_m2+c_rt,1,0))</f>
        <v/>
      </c>
      <c r="BF29" s="14">
        <f>IF(BF$3&gt;ROUND(p_stop_det,0)+3,0,c_n_reg1*p_postreg/12*IF(BF$3&gt;=c_reg_m,1,0)+c_n_reg2*p_postreg/12*IF(BF$3&gt;=c_m2+c_rt,1,0))</f>
        <v/>
      </c>
      <c r="BG29" s="14">
        <f>IF(BG$3&gt;ROUND(p_stop_det,0)+3,0,c_n_reg1*p_postreg/12*IF(BG$3&gt;=c_reg_m,1,0)+c_n_reg2*p_postreg/12*IF(BG$3&gt;=c_m2+c_rt,1,0))</f>
        <v/>
      </c>
      <c r="BH29" s="14">
        <f>IF(BH$3&gt;ROUND(p_stop_det,0)+3,0,c_n_reg1*p_postreg/12*IF(BH$3&gt;=c_reg_m,1,0)+c_n_reg2*p_postreg/12*IF(BH$3&gt;=c_m2+c_rt,1,0))</f>
        <v/>
      </c>
      <c r="BI29" s="14">
        <f>IF(BI$3&gt;ROUND(p_stop_det,0)+3,0,c_n_reg1*p_postreg/12*IF(BI$3&gt;=c_reg_m,1,0)+c_n_reg2*p_postreg/12*IF(BI$3&gt;=c_m2+c_rt,1,0))</f>
        <v/>
      </c>
      <c r="BJ29" s="14">
        <f>IF(BJ$3&gt;ROUND(p_stop_det,0)+3,0,c_n_reg1*p_postreg/12*IF(BJ$3&gt;=c_reg_m,1,0)+c_n_reg2*p_postreg/12*IF(BJ$3&gt;=c_m2+c_rt,1,0))</f>
        <v/>
      </c>
      <c r="BK29" s="14">
        <f>IF(BK$3&gt;ROUND(p_stop_det,0)+3,0,c_n_reg1*p_postreg/12*IF(BK$3&gt;=c_reg_m,1,0)+c_n_reg2*p_postreg/12*IF(BK$3&gt;=c_m2+c_rt,1,0))</f>
        <v/>
      </c>
    </row>
    <row r="30">
      <c r="A30" s="9" t="inlineStr">
        <is>
          <t>Gastos de arranque</t>
        </is>
      </c>
      <c r="D30" s="14">
        <f>SUMIF(u_month,D$3,u_used)</f>
        <v/>
      </c>
      <c r="E30" s="14">
        <f>SUMIF(u_month,E$3,u_used)</f>
        <v/>
      </c>
      <c r="F30" s="14">
        <f>SUMIF(u_month,F$3,u_used)</f>
        <v/>
      </c>
      <c r="G30" s="14">
        <f>SUMIF(u_month,G$3,u_used)</f>
        <v/>
      </c>
      <c r="H30" s="14">
        <f>SUMIF(u_month,H$3,u_used)</f>
        <v/>
      </c>
      <c r="I30" s="14">
        <f>SUMIF(u_month,I$3,u_used)</f>
        <v/>
      </c>
      <c r="J30" s="14">
        <f>SUMIF(u_month,J$3,u_used)</f>
        <v/>
      </c>
      <c r="K30" s="14">
        <f>SUMIF(u_month,K$3,u_used)</f>
        <v/>
      </c>
      <c r="L30" s="14">
        <f>SUMIF(u_month,L$3,u_used)</f>
        <v/>
      </c>
      <c r="M30" s="14">
        <f>SUMIF(u_month,M$3,u_used)</f>
        <v/>
      </c>
      <c r="N30" s="14">
        <f>SUMIF(u_month,N$3,u_used)</f>
        <v/>
      </c>
      <c r="O30" s="14">
        <f>SUMIF(u_month,O$3,u_used)</f>
        <v/>
      </c>
      <c r="P30" s="14">
        <f>SUMIF(u_month,P$3,u_used)</f>
        <v/>
      </c>
      <c r="Q30" s="14">
        <f>SUMIF(u_month,Q$3,u_used)</f>
        <v/>
      </c>
      <c r="R30" s="14">
        <f>SUMIF(u_month,R$3,u_used)</f>
        <v/>
      </c>
      <c r="S30" s="14">
        <f>SUMIF(u_month,S$3,u_used)</f>
        <v/>
      </c>
      <c r="T30" s="14">
        <f>SUMIF(u_month,T$3,u_used)</f>
        <v/>
      </c>
      <c r="U30" s="14">
        <f>SUMIF(u_month,U$3,u_used)</f>
        <v/>
      </c>
      <c r="V30" s="14">
        <f>SUMIF(u_month,V$3,u_used)</f>
        <v/>
      </c>
      <c r="W30" s="14">
        <f>SUMIF(u_month,W$3,u_used)</f>
        <v/>
      </c>
      <c r="X30" s="14">
        <f>SUMIF(u_month,X$3,u_used)</f>
        <v/>
      </c>
      <c r="Y30" s="14">
        <f>SUMIF(u_month,Y$3,u_used)</f>
        <v/>
      </c>
      <c r="Z30" s="14">
        <f>SUMIF(u_month,Z$3,u_used)</f>
        <v/>
      </c>
      <c r="AA30" s="14">
        <f>SUMIF(u_month,AA$3,u_used)</f>
        <v/>
      </c>
      <c r="AB30" s="14">
        <f>SUMIF(u_month,AB$3,u_used)</f>
        <v/>
      </c>
      <c r="AC30" s="14">
        <f>SUMIF(u_month,AC$3,u_used)</f>
        <v/>
      </c>
      <c r="AD30" s="14">
        <f>SUMIF(u_month,AD$3,u_used)</f>
        <v/>
      </c>
      <c r="AE30" s="14">
        <f>SUMIF(u_month,AE$3,u_used)</f>
        <v/>
      </c>
      <c r="AF30" s="14">
        <f>SUMIF(u_month,AF$3,u_used)</f>
        <v/>
      </c>
      <c r="AG30" s="14">
        <f>SUMIF(u_month,AG$3,u_used)</f>
        <v/>
      </c>
      <c r="AH30" s="14">
        <f>SUMIF(u_month,AH$3,u_used)</f>
        <v/>
      </c>
      <c r="AI30" s="14">
        <f>SUMIF(u_month,AI$3,u_used)</f>
        <v/>
      </c>
      <c r="AJ30" s="14">
        <f>SUMIF(u_month,AJ$3,u_used)</f>
        <v/>
      </c>
      <c r="AK30" s="14">
        <f>SUMIF(u_month,AK$3,u_used)</f>
        <v/>
      </c>
      <c r="AL30" s="14">
        <f>SUMIF(u_month,AL$3,u_used)</f>
        <v/>
      </c>
      <c r="AM30" s="14">
        <f>SUMIF(u_month,AM$3,u_used)</f>
        <v/>
      </c>
      <c r="AN30" s="14">
        <f>SUMIF(u_month,AN$3,u_used)</f>
        <v/>
      </c>
      <c r="AO30" s="14">
        <f>SUMIF(u_month,AO$3,u_used)</f>
        <v/>
      </c>
      <c r="AP30" s="14">
        <f>SUMIF(u_month,AP$3,u_used)</f>
        <v/>
      </c>
      <c r="AQ30" s="14">
        <f>SUMIF(u_month,AQ$3,u_used)</f>
        <v/>
      </c>
      <c r="AR30" s="14">
        <f>SUMIF(u_month,AR$3,u_used)</f>
        <v/>
      </c>
      <c r="AS30" s="14">
        <f>SUMIF(u_month,AS$3,u_used)</f>
        <v/>
      </c>
      <c r="AT30" s="14">
        <f>SUMIF(u_month,AT$3,u_used)</f>
        <v/>
      </c>
      <c r="AU30" s="14">
        <f>SUMIF(u_month,AU$3,u_used)</f>
        <v/>
      </c>
      <c r="AV30" s="14">
        <f>SUMIF(u_month,AV$3,u_used)</f>
        <v/>
      </c>
      <c r="AW30" s="14">
        <f>SUMIF(u_month,AW$3,u_used)</f>
        <v/>
      </c>
      <c r="AX30" s="14">
        <f>SUMIF(u_month,AX$3,u_used)</f>
        <v/>
      </c>
      <c r="AY30" s="14">
        <f>SUMIF(u_month,AY$3,u_used)</f>
        <v/>
      </c>
      <c r="AZ30" s="14">
        <f>SUMIF(u_month,AZ$3,u_used)</f>
        <v/>
      </c>
      <c r="BA30" s="14">
        <f>SUMIF(u_month,BA$3,u_used)</f>
        <v/>
      </c>
      <c r="BB30" s="14">
        <f>SUMIF(u_month,BB$3,u_used)</f>
        <v/>
      </c>
      <c r="BC30" s="14">
        <f>SUMIF(u_month,BC$3,u_used)</f>
        <v/>
      </c>
      <c r="BD30" s="14">
        <f>SUMIF(u_month,BD$3,u_used)</f>
        <v/>
      </c>
      <c r="BE30" s="14">
        <f>SUMIF(u_month,BE$3,u_used)</f>
        <v/>
      </c>
      <c r="BF30" s="14">
        <f>SUMIF(u_month,BF$3,u_used)</f>
        <v/>
      </c>
      <c r="BG30" s="14">
        <f>SUMIF(u_month,BG$3,u_used)</f>
        <v/>
      </c>
      <c r="BH30" s="14">
        <f>SUMIF(u_month,BH$3,u_used)</f>
        <v/>
      </c>
      <c r="BI30" s="14">
        <f>SUMIF(u_month,BI$3,u_used)</f>
        <v/>
      </c>
      <c r="BJ30" s="14">
        <f>SUMIF(u_month,BJ$3,u_used)</f>
        <v/>
      </c>
      <c r="BK30" s="14">
        <f>SUMIF(u_month,BK$3,u_used)</f>
        <v/>
      </c>
    </row>
    <row r="31">
      <c r="A31" s="9" t="inlineStr">
        <is>
          <t>Registros sanitarios</t>
        </is>
      </c>
      <c r="D31" s="14">
        <f>IF(D$3=c_rs_pay_m,SUM(SKUs!$D$6:$D$24)*c_rs_unit,0)+IF(D$3=MAX(1,MIN(60,c_m2)),p_n2*c_rs_unit,0)</f>
        <v/>
      </c>
      <c r="E31" s="14">
        <f>IF(E$3=c_rs_pay_m,SUM(SKUs!$D$6:$D$24)*c_rs_unit,0)+IF(E$3=MAX(1,MIN(60,c_m2)),p_n2*c_rs_unit,0)</f>
        <v/>
      </c>
      <c r="F31" s="14">
        <f>IF(F$3=c_rs_pay_m,SUM(SKUs!$D$6:$D$24)*c_rs_unit,0)+IF(F$3=MAX(1,MIN(60,c_m2)),p_n2*c_rs_unit,0)</f>
        <v/>
      </c>
      <c r="G31" s="14">
        <f>IF(G$3=c_rs_pay_m,SUM(SKUs!$D$6:$D$24)*c_rs_unit,0)+IF(G$3=MAX(1,MIN(60,c_m2)),p_n2*c_rs_unit,0)</f>
        <v/>
      </c>
      <c r="H31" s="14">
        <f>IF(H$3=c_rs_pay_m,SUM(SKUs!$D$6:$D$24)*c_rs_unit,0)+IF(H$3=MAX(1,MIN(60,c_m2)),p_n2*c_rs_unit,0)</f>
        <v/>
      </c>
      <c r="I31" s="14">
        <f>IF(I$3=c_rs_pay_m,SUM(SKUs!$D$6:$D$24)*c_rs_unit,0)+IF(I$3=MAX(1,MIN(60,c_m2)),p_n2*c_rs_unit,0)</f>
        <v/>
      </c>
      <c r="J31" s="14">
        <f>IF(J$3=c_rs_pay_m,SUM(SKUs!$D$6:$D$24)*c_rs_unit,0)+IF(J$3=MAX(1,MIN(60,c_m2)),p_n2*c_rs_unit,0)</f>
        <v/>
      </c>
      <c r="K31" s="14">
        <f>IF(K$3=c_rs_pay_m,SUM(SKUs!$D$6:$D$24)*c_rs_unit,0)+IF(K$3=MAX(1,MIN(60,c_m2)),p_n2*c_rs_unit,0)</f>
        <v/>
      </c>
      <c r="L31" s="14">
        <f>IF(L$3=c_rs_pay_m,SUM(SKUs!$D$6:$D$24)*c_rs_unit,0)+IF(L$3=MAX(1,MIN(60,c_m2)),p_n2*c_rs_unit,0)</f>
        <v/>
      </c>
      <c r="M31" s="14">
        <f>IF(M$3=c_rs_pay_m,SUM(SKUs!$D$6:$D$24)*c_rs_unit,0)+IF(M$3=MAX(1,MIN(60,c_m2)),p_n2*c_rs_unit,0)</f>
        <v/>
      </c>
      <c r="N31" s="14">
        <f>IF(N$3=c_rs_pay_m,SUM(SKUs!$D$6:$D$24)*c_rs_unit,0)+IF(N$3=MAX(1,MIN(60,c_m2)),p_n2*c_rs_unit,0)</f>
        <v/>
      </c>
      <c r="O31" s="14">
        <f>IF(O$3=c_rs_pay_m,SUM(SKUs!$D$6:$D$24)*c_rs_unit,0)+IF(O$3=MAX(1,MIN(60,c_m2)),p_n2*c_rs_unit,0)</f>
        <v/>
      </c>
      <c r="P31" s="14">
        <f>IF(P$3=c_rs_pay_m,SUM(SKUs!$D$6:$D$24)*c_rs_unit,0)+IF(P$3=MAX(1,MIN(60,c_m2)),p_n2*c_rs_unit,0)</f>
        <v/>
      </c>
      <c r="Q31" s="14">
        <f>IF(Q$3=c_rs_pay_m,SUM(SKUs!$D$6:$D$24)*c_rs_unit,0)+IF(Q$3=MAX(1,MIN(60,c_m2)),p_n2*c_rs_unit,0)</f>
        <v/>
      </c>
      <c r="R31" s="14">
        <f>IF(R$3=c_rs_pay_m,SUM(SKUs!$D$6:$D$24)*c_rs_unit,0)+IF(R$3=MAX(1,MIN(60,c_m2)),p_n2*c_rs_unit,0)</f>
        <v/>
      </c>
      <c r="S31" s="14">
        <f>IF(S$3=c_rs_pay_m,SUM(SKUs!$D$6:$D$24)*c_rs_unit,0)+IF(S$3=MAX(1,MIN(60,c_m2)),p_n2*c_rs_unit,0)</f>
        <v/>
      </c>
      <c r="T31" s="14">
        <f>IF(T$3=c_rs_pay_m,SUM(SKUs!$D$6:$D$24)*c_rs_unit,0)+IF(T$3=MAX(1,MIN(60,c_m2)),p_n2*c_rs_unit,0)</f>
        <v/>
      </c>
      <c r="U31" s="14">
        <f>IF(U$3=c_rs_pay_m,SUM(SKUs!$D$6:$D$24)*c_rs_unit,0)+IF(U$3=MAX(1,MIN(60,c_m2)),p_n2*c_rs_unit,0)</f>
        <v/>
      </c>
      <c r="V31" s="14">
        <f>IF(V$3=c_rs_pay_m,SUM(SKUs!$D$6:$D$24)*c_rs_unit,0)+IF(V$3=MAX(1,MIN(60,c_m2)),p_n2*c_rs_unit,0)</f>
        <v/>
      </c>
      <c r="W31" s="14">
        <f>IF(W$3=c_rs_pay_m,SUM(SKUs!$D$6:$D$24)*c_rs_unit,0)+IF(W$3=MAX(1,MIN(60,c_m2)),p_n2*c_rs_unit,0)</f>
        <v/>
      </c>
      <c r="X31" s="14">
        <f>IF(X$3=c_rs_pay_m,SUM(SKUs!$D$6:$D$24)*c_rs_unit,0)+IF(X$3=MAX(1,MIN(60,c_m2)),p_n2*c_rs_unit,0)</f>
        <v/>
      </c>
      <c r="Y31" s="14">
        <f>IF(Y$3=c_rs_pay_m,SUM(SKUs!$D$6:$D$24)*c_rs_unit,0)+IF(Y$3=MAX(1,MIN(60,c_m2)),p_n2*c_rs_unit,0)</f>
        <v/>
      </c>
      <c r="Z31" s="14">
        <f>IF(Z$3=c_rs_pay_m,SUM(SKUs!$D$6:$D$24)*c_rs_unit,0)+IF(Z$3=MAX(1,MIN(60,c_m2)),p_n2*c_rs_unit,0)</f>
        <v/>
      </c>
      <c r="AA31" s="14">
        <f>IF(AA$3=c_rs_pay_m,SUM(SKUs!$D$6:$D$24)*c_rs_unit,0)+IF(AA$3=MAX(1,MIN(60,c_m2)),p_n2*c_rs_unit,0)</f>
        <v/>
      </c>
      <c r="AB31" s="14">
        <f>IF(AB$3=c_rs_pay_m,SUM(SKUs!$D$6:$D$24)*c_rs_unit,0)+IF(AB$3=MAX(1,MIN(60,c_m2)),p_n2*c_rs_unit,0)</f>
        <v/>
      </c>
      <c r="AC31" s="14">
        <f>IF(AC$3=c_rs_pay_m,SUM(SKUs!$D$6:$D$24)*c_rs_unit,0)+IF(AC$3=MAX(1,MIN(60,c_m2)),p_n2*c_rs_unit,0)</f>
        <v/>
      </c>
      <c r="AD31" s="14">
        <f>IF(AD$3=c_rs_pay_m,SUM(SKUs!$D$6:$D$24)*c_rs_unit,0)+IF(AD$3=MAX(1,MIN(60,c_m2)),p_n2*c_rs_unit,0)</f>
        <v/>
      </c>
      <c r="AE31" s="14">
        <f>IF(AE$3=c_rs_pay_m,SUM(SKUs!$D$6:$D$24)*c_rs_unit,0)+IF(AE$3=MAX(1,MIN(60,c_m2)),p_n2*c_rs_unit,0)</f>
        <v/>
      </c>
      <c r="AF31" s="14">
        <f>IF(AF$3=c_rs_pay_m,SUM(SKUs!$D$6:$D$24)*c_rs_unit,0)+IF(AF$3=MAX(1,MIN(60,c_m2)),p_n2*c_rs_unit,0)</f>
        <v/>
      </c>
      <c r="AG31" s="14">
        <f>IF(AG$3=c_rs_pay_m,SUM(SKUs!$D$6:$D$24)*c_rs_unit,0)+IF(AG$3=MAX(1,MIN(60,c_m2)),p_n2*c_rs_unit,0)</f>
        <v/>
      </c>
      <c r="AH31" s="14">
        <f>IF(AH$3=c_rs_pay_m,SUM(SKUs!$D$6:$D$24)*c_rs_unit,0)+IF(AH$3=MAX(1,MIN(60,c_m2)),p_n2*c_rs_unit,0)</f>
        <v/>
      </c>
      <c r="AI31" s="14">
        <f>IF(AI$3=c_rs_pay_m,SUM(SKUs!$D$6:$D$24)*c_rs_unit,0)+IF(AI$3=MAX(1,MIN(60,c_m2)),p_n2*c_rs_unit,0)</f>
        <v/>
      </c>
      <c r="AJ31" s="14">
        <f>IF(AJ$3=c_rs_pay_m,SUM(SKUs!$D$6:$D$24)*c_rs_unit,0)+IF(AJ$3=MAX(1,MIN(60,c_m2)),p_n2*c_rs_unit,0)</f>
        <v/>
      </c>
      <c r="AK31" s="14">
        <f>IF(AK$3=c_rs_pay_m,SUM(SKUs!$D$6:$D$24)*c_rs_unit,0)+IF(AK$3=MAX(1,MIN(60,c_m2)),p_n2*c_rs_unit,0)</f>
        <v/>
      </c>
      <c r="AL31" s="14">
        <f>IF(AL$3=c_rs_pay_m,SUM(SKUs!$D$6:$D$24)*c_rs_unit,0)+IF(AL$3=MAX(1,MIN(60,c_m2)),p_n2*c_rs_unit,0)</f>
        <v/>
      </c>
      <c r="AM31" s="14">
        <f>IF(AM$3=c_rs_pay_m,SUM(SKUs!$D$6:$D$24)*c_rs_unit,0)+IF(AM$3=MAX(1,MIN(60,c_m2)),p_n2*c_rs_unit,0)</f>
        <v/>
      </c>
      <c r="AN31" s="14">
        <f>IF(AN$3=c_rs_pay_m,SUM(SKUs!$D$6:$D$24)*c_rs_unit,0)+IF(AN$3=MAX(1,MIN(60,c_m2)),p_n2*c_rs_unit,0)</f>
        <v/>
      </c>
      <c r="AO31" s="14">
        <f>IF(AO$3=c_rs_pay_m,SUM(SKUs!$D$6:$D$24)*c_rs_unit,0)+IF(AO$3=MAX(1,MIN(60,c_m2)),p_n2*c_rs_unit,0)</f>
        <v/>
      </c>
      <c r="AP31" s="14">
        <f>IF(AP$3=c_rs_pay_m,SUM(SKUs!$D$6:$D$24)*c_rs_unit,0)+IF(AP$3=MAX(1,MIN(60,c_m2)),p_n2*c_rs_unit,0)</f>
        <v/>
      </c>
      <c r="AQ31" s="14">
        <f>IF(AQ$3=c_rs_pay_m,SUM(SKUs!$D$6:$D$24)*c_rs_unit,0)+IF(AQ$3=MAX(1,MIN(60,c_m2)),p_n2*c_rs_unit,0)</f>
        <v/>
      </c>
      <c r="AR31" s="14">
        <f>IF(AR$3=c_rs_pay_m,SUM(SKUs!$D$6:$D$24)*c_rs_unit,0)+IF(AR$3=MAX(1,MIN(60,c_m2)),p_n2*c_rs_unit,0)</f>
        <v/>
      </c>
      <c r="AS31" s="14">
        <f>IF(AS$3=c_rs_pay_m,SUM(SKUs!$D$6:$D$24)*c_rs_unit,0)+IF(AS$3=MAX(1,MIN(60,c_m2)),p_n2*c_rs_unit,0)</f>
        <v/>
      </c>
      <c r="AT31" s="14">
        <f>IF(AT$3=c_rs_pay_m,SUM(SKUs!$D$6:$D$24)*c_rs_unit,0)+IF(AT$3=MAX(1,MIN(60,c_m2)),p_n2*c_rs_unit,0)</f>
        <v/>
      </c>
      <c r="AU31" s="14">
        <f>IF(AU$3=c_rs_pay_m,SUM(SKUs!$D$6:$D$24)*c_rs_unit,0)+IF(AU$3=MAX(1,MIN(60,c_m2)),p_n2*c_rs_unit,0)</f>
        <v/>
      </c>
      <c r="AV31" s="14">
        <f>IF(AV$3=c_rs_pay_m,SUM(SKUs!$D$6:$D$24)*c_rs_unit,0)+IF(AV$3=MAX(1,MIN(60,c_m2)),p_n2*c_rs_unit,0)</f>
        <v/>
      </c>
      <c r="AW31" s="14">
        <f>IF(AW$3=c_rs_pay_m,SUM(SKUs!$D$6:$D$24)*c_rs_unit,0)+IF(AW$3=MAX(1,MIN(60,c_m2)),p_n2*c_rs_unit,0)</f>
        <v/>
      </c>
      <c r="AX31" s="14">
        <f>IF(AX$3=c_rs_pay_m,SUM(SKUs!$D$6:$D$24)*c_rs_unit,0)+IF(AX$3=MAX(1,MIN(60,c_m2)),p_n2*c_rs_unit,0)</f>
        <v/>
      </c>
      <c r="AY31" s="14">
        <f>IF(AY$3=c_rs_pay_m,SUM(SKUs!$D$6:$D$24)*c_rs_unit,0)+IF(AY$3=MAX(1,MIN(60,c_m2)),p_n2*c_rs_unit,0)</f>
        <v/>
      </c>
      <c r="AZ31" s="14">
        <f>IF(AZ$3=c_rs_pay_m,SUM(SKUs!$D$6:$D$24)*c_rs_unit,0)+IF(AZ$3=MAX(1,MIN(60,c_m2)),p_n2*c_rs_unit,0)</f>
        <v/>
      </c>
      <c r="BA31" s="14">
        <f>IF(BA$3=c_rs_pay_m,SUM(SKUs!$D$6:$D$24)*c_rs_unit,0)+IF(BA$3=MAX(1,MIN(60,c_m2)),p_n2*c_rs_unit,0)</f>
        <v/>
      </c>
      <c r="BB31" s="14">
        <f>IF(BB$3=c_rs_pay_m,SUM(SKUs!$D$6:$D$24)*c_rs_unit,0)+IF(BB$3=MAX(1,MIN(60,c_m2)),p_n2*c_rs_unit,0)</f>
        <v/>
      </c>
      <c r="BC31" s="14">
        <f>IF(BC$3=c_rs_pay_m,SUM(SKUs!$D$6:$D$24)*c_rs_unit,0)+IF(BC$3=MAX(1,MIN(60,c_m2)),p_n2*c_rs_unit,0)</f>
        <v/>
      </c>
      <c r="BD31" s="14">
        <f>IF(BD$3=c_rs_pay_m,SUM(SKUs!$D$6:$D$24)*c_rs_unit,0)+IF(BD$3=MAX(1,MIN(60,c_m2)),p_n2*c_rs_unit,0)</f>
        <v/>
      </c>
      <c r="BE31" s="14">
        <f>IF(BE$3=c_rs_pay_m,SUM(SKUs!$D$6:$D$24)*c_rs_unit,0)+IF(BE$3=MAX(1,MIN(60,c_m2)),p_n2*c_rs_unit,0)</f>
        <v/>
      </c>
      <c r="BF31" s="14">
        <f>IF(BF$3=c_rs_pay_m,SUM(SKUs!$D$6:$D$24)*c_rs_unit,0)+IF(BF$3=MAX(1,MIN(60,c_m2)),p_n2*c_rs_unit,0)</f>
        <v/>
      </c>
      <c r="BG31" s="14">
        <f>IF(BG$3=c_rs_pay_m,SUM(SKUs!$D$6:$D$24)*c_rs_unit,0)+IF(BG$3=MAX(1,MIN(60,c_m2)),p_n2*c_rs_unit,0)</f>
        <v/>
      </c>
      <c r="BH31" s="14">
        <f>IF(BH$3=c_rs_pay_m,SUM(SKUs!$D$6:$D$24)*c_rs_unit,0)+IF(BH$3=MAX(1,MIN(60,c_m2)),p_n2*c_rs_unit,0)</f>
        <v/>
      </c>
      <c r="BI31" s="14">
        <f>IF(BI$3=c_rs_pay_m,SUM(SKUs!$D$6:$D$24)*c_rs_unit,0)+IF(BI$3=MAX(1,MIN(60,c_m2)),p_n2*c_rs_unit,0)</f>
        <v/>
      </c>
      <c r="BJ31" s="14">
        <f>IF(BJ$3=c_rs_pay_m,SUM(SKUs!$D$6:$D$24)*c_rs_unit,0)+IF(BJ$3=MAX(1,MIN(60,c_m2)),p_n2*c_rs_unit,0)</f>
        <v/>
      </c>
      <c r="BK31" s="14">
        <f>IF(BK$3=c_rs_pay_m,SUM(SKUs!$D$6:$D$24)*c_rs_unit,0)+IF(BK$3=MAX(1,MIN(60,c_m2)),p_n2*c_rs_unit,0)</f>
        <v/>
      </c>
    </row>
    <row r="32">
      <c r="A32" s="9" t="inlineStr">
        <is>
          <t>Cargos anuales</t>
        </is>
      </c>
      <c r="D32" s="14">
        <f>IF(D$3&gt;ROUND(p_stop_det,0)+3,0,IF(OR(D$3=1,D$3=13,D$3=25,D$3=37,D$3=49),c_annual,0))</f>
        <v/>
      </c>
      <c r="E32" s="14">
        <f>IF(E$3&gt;ROUND(p_stop_det,0)+3,0,IF(OR(E$3=1,E$3=13,E$3=25,E$3=37,E$3=49),c_annual,0))</f>
        <v/>
      </c>
      <c r="F32" s="14">
        <f>IF(F$3&gt;ROUND(p_stop_det,0)+3,0,IF(OR(F$3=1,F$3=13,F$3=25,F$3=37,F$3=49),c_annual,0))</f>
        <v/>
      </c>
      <c r="G32" s="14">
        <f>IF(G$3&gt;ROUND(p_stop_det,0)+3,0,IF(OR(G$3=1,G$3=13,G$3=25,G$3=37,G$3=49),c_annual,0))</f>
        <v/>
      </c>
      <c r="H32" s="14">
        <f>IF(H$3&gt;ROUND(p_stop_det,0)+3,0,IF(OR(H$3=1,H$3=13,H$3=25,H$3=37,H$3=49),c_annual,0))</f>
        <v/>
      </c>
      <c r="I32" s="14">
        <f>IF(I$3&gt;ROUND(p_stop_det,0)+3,0,IF(OR(I$3=1,I$3=13,I$3=25,I$3=37,I$3=49),c_annual,0))</f>
        <v/>
      </c>
      <c r="J32" s="14">
        <f>IF(J$3&gt;ROUND(p_stop_det,0)+3,0,IF(OR(J$3=1,J$3=13,J$3=25,J$3=37,J$3=49),c_annual,0))</f>
        <v/>
      </c>
      <c r="K32" s="14">
        <f>IF(K$3&gt;ROUND(p_stop_det,0)+3,0,IF(OR(K$3=1,K$3=13,K$3=25,K$3=37,K$3=49),c_annual,0))</f>
        <v/>
      </c>
      <c r="L32" s="14">
        <f>IF(L$3&gt;ROUND(p_stop_det,0)+3,0,IF(OR(L$3=1,L$3=13,L$3=25,L$3=37,L$3=49),c_annual,0))</f>
        <v/>
      </c>
      <c r="M32" s="14">
        <f>IF(M$3&gt;ROUND(p_stop_det,0)+3,0,IF(OR(M$3=1,M$3=13,M$3=25,M$3=37,M$3=49),c_annual,0))</f>
        <v/>
      </c>
      <c r="N32" s="14">
        <f>IF(N$3&gt;ROUND(p_stop_det,0)+3,0,IF(OR(N$3=1,N$3=13,N$3=25,N$3=37,N$3=49),c_annual,0))</f>
        <v/>
      </c>
      <c r="O32" s="14">
        <f>IF(O$3&gt;ROUND(p_stop_det,0)+3,0,IF(OR(O$3=1,O$3=13,O$3=25,O$3=37,O$3=49),c_annual,0))</f>
        <v/>
      </c>
      <c r="P32" s="14">
        <f>IF(P$3&gt;ROUND(p_stop_det,0)+3,0,IF(OR(P$3=1,P$3=13,P$3=25,P$3=37,P$3=49),c_annual,0))</f>
        <v/>
      </c>
      <c r="Q32" s="14">
        <f>IF(Q$3&gt;ROUND(p_stop_det,0)+3,0,IF(OR(Q$3=1,Q$3=13,Q$3=25,Q$3=37,Q$3=49),c_annual,0))</f>
        <v/>
      </c>
      <c r="R32" s="14">
        <f>IF(R$3&gt;ROUND(p_stop_det,0)+3,0,IF(OR(R$3=1,R$3=13,R$3=25,R$3=37,R$3=49),c_annual,0))</f>
        <v/>
      </c>
      <c r="S32" s="14">
        <f>IF(S$3&gt;ROUND(p_stop_det,0)+3,0,IF(OR(S$3=1,S$3=13,S$3=25,S$3=37,S$3=49),c_annual,0))</f>
        <v/>
      </c>
      <c r="T32" s="14">
        <f>IF(T$3&gt;ROUND(p_stop_det,0)+3,0,IF(OR(T$3=1,T$3=13,T$3=25,T$3=37,T$3=49),c_annual,0))</f>
        <v/>
      </c>
      <c r="U32" s="14">
        <f>IF(U$3&gt;ROUND(p_stop_det,0)+3,0,IF(OR(U$3=1,U$3=13,U$3=25,U$3=37,U$3=49),c_annual,0))</f>
        <v/>
      </c>
      <c r="V32" s="14">
        <f>IF(V$3&gt;ROUND(p_stop_det,0)+3,0,IF(OR(V$3=1,V$3=13,V$3=25,V$3=37,V$3=49),c_annual,0))</f>
        <v/>
      </c>
      <c r="W32" s="14">
        <f>IF(W$3&gt;ROUND(p_stop_det,0)+3,0,IF(OR(W$3=1,W$3=13,W$3=25,W$3=37,W$3=49),c_annual,0))</f>
        <v/>
      </c>
      <c r="X32" s="14">
        <f>IF(X$3&gt;ROUND(p_stop_det,0)+3,0,IF(OR(X$3=1,X$3=13,X$3=25,X$3=37,X$3=49),c_annual,0))</f>
        <v/>
      </c>
      <c r="Y32" s="14">
        <f>IF(Y$3&gt;ROUND(p_stop_det,0)+3,0,IF(OR(Y$3=1,Y$3=13,Y$3=25,Y$3=37,Y$3=49),c_annual,0))</f>
        <v/>
      </c>
      <c r="Z32" s="14">
        <f>IF(Z$3&gt;ROUND(p_stop_det,0)+3,0,IF(OR(Z$3=1,Z$3=13,Z$3=25,Z$3=37,Z$3=49),c_annual,0))</f>
        <v/>
      </c>
      <c r="AA32" s="14">
        <f>IF(AA$3&gt;ROUND(p_stop_det,0)+3,0,IF(OR(AA$3=1,AA$3=13,AA$3=25,AA$3=37,AA$3=49),c_annual,0))</f>
        <v/>
      </c>
      <c r="AB32" s="14">
        <f>IF(AB$3&gt;ROUND(p_stop_det,0)+3,0,IF(OR(AB$3=1,AB$3=13,AB$3=25,AB$3=37,AB$3=49),c_annual,0))</f>
        <v/>
      </c>
      <c r="AC32" s="14">
        <f>IF(AC$3&gt;ROUND(p_stop_det,0)+3,0,IF(OR(AC$3=1,AC$3=13,AC$3=25,AC$3=37,AC$3=49),c_annual,0))</f>
        <v/>
      </c>
      <c r="AD32" s="14">
        <f>IF(AD$3&gt;ROUND(p_stop_det,0)+3,0,IF(OR(AD$3=1,AD$3=13,AD$3=25,AD$3=37,AD$3=49),c_annual,0))</f>
        <v/>
      </c>
      <c r="AE32" s="14">
        <f>IF(AE$3&gt;ROUND(p_stop_det,0)+3,0,IF(OR(AE$3=1,AE$3=13,AE$3=25,AE$3=37,AE$3=49),c_annual,0))</f>
        <v/>
      </c>
      <c r="AF32" s="14">
        <f>IF(AF$3&gt;ROUND(p_stop_det,0)+3,0,IF(OR(AF$3=1,AF$3=13,AF$3=25,AF$3=37,AF$3=49),c_annual,0))</f>
        <v/>
      </c>
      <c r="AG32" s="14">
        <f>IF(AG$3&gt;ROUND(p_stop_det,0)+3,0,IF(OR(AG$3=1,AG$3=13,AG$3=25,AG$3=37,AG$3=49),c_annual,0))</f>
        <v/>
      </c>
      <c r="AH32" s="14">
        <f>IF(AH$3&gt;ROUND(p_stop_det,0)+3,0,IF(OR(AH$3=1,AH$3=13,AH$3=25,AH$3=37,AH$3=49),c_annual,0))</f>
        <v/>
      </c>
      <c r="AI32" s="14">
        <f>IF(AI$3&gt;ROUND(p_stop_det,0)+3,0,IF(OR(AI$3=1,AI$3=13,AI$3=25,AI$3=37,AI$3=49),c_annual,0))</f>
        <v/>
      </c>
      <c r="AJ32" s="14">
        <f>IF(AJ$3&gt;ROUND(p_stop_det,0)+3,0,IF(OR(AJ$3=1,AJ$3=13,AJ$3=25,AJ$3=37,AJ$3=49),c_annual,0))</f>
        <v/>
      </c>
      <c r="AK32" s="14">
        <f>IF(AK$3&gt;ROUND(p_stop_det,0)+3,0,IF(OR(AK$3=1,AK$3=13,AK$3=25,AK$3=37,AK$3=49),c_annual,0))</f>
        <v/>
      </c>
      <c r="AL32" s="14">
        <f>IF(AL$3&gt;ROUND(p_stop_det,0)+3,0,IF(OR(AL$3=1,AL$3=13,AL$3=25,AL$3=37,AL$3=49),c_annual,0))</f>
        <v/>
      </c>
      <c r="AM32" s="14">
        <f>IF(AM$3&gt;ROUND(p_stop_det,0)+3,0,IF(OR(AM$3=1,AM$3=13,AM$3=25,AM$3=37,AM$3=49),c_annual,0))</f>
        <v/>
      </c>
      <c r="AN32" s="14">
        <f>IF(AN$3&gt;ROUND(p_stop_det,0)+3,0,IF(OR(AN$3=1,AN$3=13,AN$3=25,AN$3=37,AN$3=49),c_annual,0))</f>
        <v/>
      </c>
      <c r="AO32" s="14">
        <f>IF(AO$3&gt;ROUND(p_stop_det,0)+3,0,IF(OR(AO$3=1,AO$3=13,AO$3=25,AO$3=37,AO$3=49),c_annual,0))</f>
        <v/>
      </c>
      <c r="AP32" s="14">
        <f>IF(AP$3&gt;ROUND(p_stop_det,0)+3,0,IF(OR(AP$3=1,AP$3=13,AP$3=25,AP$3=37,AP$3=49),c_annual,0))</f>
        <v/>
      </c>
      <c r="AQ32" s="14">
        <f>IF(AQ$3&gt;ROUND(p_stop_det,0)+3,0,IF(OR(AQ$3=1,AQ$3=13,AQ$3=25,AQ$3=37,AQ$3=49),c_annual,0))</f>
        <v/>
      </c>
      <c r="AR32" s="14">
        <f>IF(AR$3&gt;ROUND(p_stop_det,0)+3,0,IF(OR(AR$3=1,AR$3=13,AR$3=25,AR$3=37,AR$3=49),c_annual,0))</f>
        <v/>
      </c>
      <c r="AS32" s="14">
        <f>IF(AS$3&gt;ROUND(p_stop_det,0)+3,0,IF(OR(AS$3=1,AS$3=13,AS$3=25,AS$3=37,AS$3=49),c_annual,0))</f>
        <v/>
      </c>
      <c r="AT32" s="14">
        <f>IF(AT$3&gt;ROUND(p_stop_det,0)+3,0,IF(OR(AT$3=1,AT$3=13,AT$3=25,AT$3=37,AT$3=49),c_annual,0))</f>
        <v/>
      </c>
      <c r="AU32" s="14">
        <f>IF(AU$3&gt;ROUND(p_stop_det,0)+3,0,IF(OR(AU$3=1,AU$3=13,AU$3=25,AU$3=37,AU$3=49),c_annual,0))</f>
        <v/>
      </c>
      <c r="AV32" s="14">
        <f>IF(AV$3&gt;ROUND(p_stop_det,0)+3,0,IF(OR(AV$3=1,AV$3=13,AV$3=25,AV$3=37,AV$3=49),c_annual,0))</f>
        <v/>
      </c>
      <c r="AW32" s="14">
        <f>IF(AW$3&gt;ROUND(p_stop_det,0)+3,0,IF(OR(AW$3=1,AW$3=13,AW$3=25,AW$3=37,AW$3=49),c_annual,0))</f>
        <v/>
      </c>
      <c r="AX32" s="14">
        <f>IF(AX$3&gt;ROUND(p_stop_det,0)+3,0,IF(OR(AX$3=1,AX$3=13,AX$3=25,AX$3=37,AX$3=49),c_annual,0))</f>
        <v/>
      </c>
      <c r="AY32" s="14">
        <f>IF(AY$3&gt;ROUND(p_stop_det,0)+3,0,IF(OR(AY$3=1,AY$3=13,AY$3=25,AY$3=37,AY$3=49),c_annual,0))</f>
        <v/>
      </c>
      <c r="AZ32" s="14">
        <f>IF(AZ$3&gt;ROUND(p_stop_det,0)+3,0,IF(OR(AZ$3=1,AZ$3=13,AZ$3=25,AZ$3=37,AZ$3=49),c_annual,0))</f>
        <v/>
      </c>
      <c r="BA32" s="14">
        <f>IF(BA$3&gt;ROUND(p_stop_det,0)+3,0,IF(OR(BA$3=1,BA$3=13,BA$3=25,BA$3=37,BA$3=49),c_annual,0))</f>
        <v/>
      </c>
      <c r="BB32" s="14">
        <f>IF(BB$3&gt;ROUND(p_stop_det,0)+3,0,IF(OR(BB$3=1,BB$3=13,BB$3=25,BB$3=37,BB$3=49),c_annual,0))</f>
        <v/>
      </c>
      <c r="BC32" s="14">
        <f>IF(BC$3&gt;ROUND(p_stop_det,0)+3,0,IF(OR(BC$3=1,BC$3=13,BC$3=25,BC$3=37,BC$3=49),c_annual,0))</f>
        <v/>
      </c>
      <c r="BD32" s="14">
        <f>IF(BD$3&gt;ROUND(p_stop_det,0)+3,0,IF(OR(BD$3=1,BD$3=13,BD$3=25,BD$3=37,BD$3=49),c_annual,0))</f>
        <v/>
      </c>
      <c r="BE32" s="14">
        <f>IF(BE$3&gt;ROUND(p_stop_det,0)+3,0,IF(OR(BE$3=1,BE$3=13,BE$3=25,BE$3=37,BE$3=49),c_annual,0))</f>
        <v/>
      </c>
      <c r="BF32" s="14">
        <f>IF(BF$3&gt;ROUND(p_stop_det,0)+3,0,IF(OR(BF$3=1,BF$3=13,BF$3=25,BF$3=37,BF$3=49),c_annual,0))</f>
        <v/>
      </c>
      <c r="BG32" s="14">
        <f>IF(BG$3&gt;ROUND(p_stop_det,0)+3,0,IF(OR(BG$3=1,BG$3=13,BG$3=25,BG$3=37,BG$3=49),c_annual,0))</f>
        <v/>
      </c>
      <c r="BH32" s="14">
        <f>IF(BH$3&gt;ROUND(p_stop_det,0)+3,0,IF(OR(BH$3=1,BH$3=13,BH$3=25,BH$3=37,BH$3=49),c_annual,0))</f>
        <v/>
      </c>
      <c r="BI32" s="14">
        <f>IF(BI$3&gt;ROUND(p_stop_det,0)+3,0,IF(OR(BI$3=1,BI$3=13,BI$3=25,BI$3=37,BI$3=49),c_annual,0))</f>
        <v/>
      </c>
      <c r="BJ32" s="14">
        <f>IF(BJ$3&gt;ROUND(p_stop_det,0)+3,0,IF(OR(BJ$3=1,BJ$3=13,BJ$3=25,BJ$3=37,BJ$3=49),c_annual,0))</f>
        <v/>
      </c>
      <c r="BK32" s="14">
        <f>IF(BK$3&gt;ROUND(p_stop_det,0)+3,0,IF(OR(BK$3=1,BK$3=13,BK$3=25,BK$3=37,BK$3=49),c_annual,0))</f>
        <v/>
      </c>
    </row>
    <row r="33">
      <c r="A33" s="9" t="inlineStr">
        <is>
          <t>Monto afianzado (cumplimiento, sobre la cantidad máxima)</t>
        </is>
      </c>
      <c r="D33" s="14">
        <f>(s_Rc1/p_realiz*p_pwin_cen*p_bond_css*15/12*D13*(1+IF(AND(D$3-c_cen_start&gt;=15,MOD(D$3-c_cen_start,15)&lt;ROUND(p_bond_tail_css,0)),1,0))+s_Rc2/p_realiz_minsa*p_pwin_cen*p_minsa_occ*p_bond_minsa*D14*(1+IF(AND(D$3-c_cen_start&gt;=12,MOD(D$3-c_cen_start,12)&lt;ROUND(p_bond_tail_minsa,0)),1,0)))*D9*D6</f>
        <v/>
      </c>
      <c r="E33" s="14">
        <f>(s_Rc1/p_realiz*p_pwin_cen*p_bond_css*15/12*E13*(1+IF(AND(E$3-c_cen_start&gt;=15,MOD(E$3-c_cen_start,15)&lt;ROUND(p_bond_tail_css,0)),1,0))+s_Rc2/p_realiz_minsa*p_pwin_cen*p_minsa_occ*p_bond_minsa*E14*(1+IF(AND(E$3-c_cen_start&gt;=12,MOD(E$3-c_cen_start,12)&lt;ROUND(p_bond_tail_minsa,0)),1,0)))*E9*E6</f>
        <v/>
      </c>
      <c r="F33" s="14">
        <f>(s_Rc1/p_realiz*p_pwin_cen*p_bond_css*15/12*F13*(1+IF(AND(F$3-c_cen_start&gt;=15,MOD(F$3-c_cen_start,15)&lt;ROUND(p_bond_tail_css,0)),1,0))+s_Rc2/p_realiz_minsa*p_pwin_cen*p_minsa_occ*p_bond_minsa*F14*(1+IF(AND(F$3-c_cen_start&gt;=12,MOD(F$3-c_cen_start,12)&lt;ROUND(p_bond_tail_minsa,0)),1,0)))*F9*F6</f>
        <v/>
      </c>
      <c r="G33" s="14">
        <f>(s_Rc1/p_realiz*p_pwin_cen*p_bond_css*15/12*G13*(1+IF(AND(G$3-c_cen_start&gt;=15,MOD(G$3-c_cen_start,15)&lt;ROUND(p_bond_tail_css,0)),1,0))+s_Rc2/p_realiz_minsa*p_pwin_cen*p_minsa_occ*p_bond_minsa*G14*(1+IF(AND(G$3-c_cen_start&gt;=12,MOD(G$3-c_cen_start,12)&lt;ROUND(p_bond_tail_minsa,0)),1,0)))*G9*G6</f>
        <v/>
      </c>
      <c r="H33" s="14">
        <f>(s_Rc1/p_realiz*p_pwin_cen*p_bond_css*15/12*H13*(1+IF(AND(H$3-c_cen_start&gt;=15,MOD(H$3-c_cen_start,15)&lt;ROUND(p_bond_tail_css,0)),1,0))+s_Rc2/p_realiz_minsa*p_pwin_cen*p_minsa_occ*p_bond_minsa*H14*(1+IF(AND(H$3-c_cen_start&gt;=12,MOD(H$3-c_cen_start,12)&lt;ROUND(p_bond_tail_minsa,0)),1,0)))*H9*H6</f>
        <v/>
      </c>
      <c r="I33" s="14">
        <f>(s_Rc1/p_realiz*p_pwin_cen*p_bond_css*15/12*I13*(1+IF(AND(I$3-c_cen_start&gt;=15,MOD(I$3-c_cen_start,15)&lt;ROUND(p_bond_tail_css,0)),1,0))+s_Rc2/p_realiz_minsa*p_pwin_cen*p_minsa_occ*p_bond_minsa*I14*(1+IF(AND(I$3-c_cen_start&gt;=12,MOD(I$3-c_cen_start,12)&lt;ROUND(p_bond_tail_minsa,0)),1,0)))*I9*I6</f>
        <v/>
      </c>
      <c r="J33" s="14">
        <f>(s_Rc1/p_realiz*p_pwin_cen*p_bond_css*15/12*J13*(1+IF(AND(J$3-c_cen_start&gt;=15,MOD(J$3-c_cen_start,15)&lt;ROUND(p_bond_tail_css,0)),1,0))+s_Rc2/p_realiz_minsa*p_pwin_cen*p_minsa_occ*p_bond_minsa*J14*(1+IF(AND(J$3-c_cen_start&gt;=12,MOD(J$3-c_cen_start,12)&lt;ROUND(p_bond_tail_minsa,0)),1,0)))*J9*J6</f>
        <v/>
      </c>
      <c r="K33" s="14">
        <f>(s_Rc1/p_realiz*p_pwin_cen*p_bond_css*15/12*K13*(1+IF(AND(K$3-c_cen_start&gt;=15,MOD(K$3-c_cen_start,15)&lt;ROUND(p_bond_tail_css,0)),1,0))+s_Rc2/p_realiz_minsa*p_pwin_cen*p_minsa_occ*p_bond_minsa*K14*(1+IF(AND(K$3-c_cen_start&gt;=12,MOD(K$3-c_cen_start,12)&lt;ROUND(p_bond_tail_minsa,0)),1,0)))*K9*K6</f>
        <v/>
      </c>
      <c r="L33" s="14">
        <f>(s_Rc1/p_realiz*p_pwin_cen*p_bond_css*15/12*L13*(1+IF(AND(L$3-c_cen_start&gt;=15,MOD(L$3-c_cen_start,15)&lt;ROUND(p_bond_tail_css,0)),1,0))+s_Rc2/p_realiz_minsa*p_pwin_cen*p_minsa_occ*p_bond_minsa*L14*(1+IF(AND(L$3-c_cen_start&gt;=12,MOD(L$3-c_cen_start,12)&lt;ROUND(p_bond_tail_minsa,0)),1,0)))*L9*L6</f>
        <v/>
      </c>
      <c r="M33" s="14">
        <f>(s_Rc1/p_realiz*p_pwin_cen*p_bond_css*15/12*M13*(1+IF(AND(M$3-c_cen_start&gt;=15,MOD(M$3-c_cen_start,15)&lt;ROUND(p_bond_tail_css,0)),1,0))+s_Rc2/p_realiz_minsa*p_pwin_cen*p_minsa_occ*p_bond_minsa*M14*(1+IF(AND(M$3-c_cen_start&gt;=12,MOD(M$3-c_cen_start,12)&lt;ROUND(p_bond_tail_minsa,0)),1,0)))*M9*M6</f>
        <v/>
      </c>
      <c r="N33" s="14">
        <f>(s_Rc1/p_realiz*p_pwin_cen*p_bond_css*15/12*N13*(1+IF(AND(N$3-c_cen_start&gt;=15,MOD(N$3-c_cen_start,15)&lt;ROUND(p_bond_tail_css,0)),1,0))+s_Rc2/p_realiz_minsa*p_pwin_cen*p_minsa_occ*p_bond_minsa*N14*(1+IF(AND(N$3-c_cen_start&gt;=12,MOD(N$3-c_cen_start,12)&lt;ROUND(p_bond_tail_minsa,0)),1,0)))*N9*N6</f>
        <v/>
      </c>
      <c r="O33" s="14">
        <f>(s_Rc1/p_realiz*p_pwin_cen*p_bond_css*15/12*O13*(1+IF(AND(O$3-c_cen_start&gt;=15,MOD(O$3-c_cen_start,15)&lt;ROUND(p_bond_tail_css,0)),1,0))+s_Rc2/p_realiz_minsa*p_pwin_cen*p_minsa_occ*p_bond_minsa*O14*(1+IF(AND(O$3-c_cen_start&gt;=12,MOD(O$3-c_cen_start,12)&lt;ROUND(p_bond_tail_minsa,0)),1,0)))*O9*O6</f>
        <v/>
      </c>
      <c r="P33" s="14">
        <f>(s_Rc1/p_realiz*p_pwin_cen*p_bond_css*15/12*P13*(1+IF(AND(P$3-c_cen_start&gt;=15,MOD(P$3-c_cen_start,15)&lt;ROUND(p_bond_tail_css,0)),1,0))+s_Rc2/p_realiz_minsa*p_pwin_cen*p_minsa_occ*p_bond_minsa*P14*(1+IF(AND(P$3-c_cen_start&gt;=12,MOD(P$3-c_cen_start,12)&lt;ROUND(p_bond_tail_minsa,0)),1,0)))*P9*P6</f>
        <v/>
      </c>
      <c r="Q33" s="14">
        <f>(s_Rc1/p_realiz*p_pwin_cen*p_bond_css*15/12*Q13*(1+IF(AND(Q$3-c_cen_start&gt;=15,MOD(Q$3-c_cen_start,15)&lt;ROUND(p_bond_tail_css,0)),1,0))+s_Rc2/p_realiz_minsa*p_pwin_cen*p_minsa_occ*p_bond_minsa*Q14*(1+IF(AND(Q$3-c_cen_start&gt;=12,MOD(Q$3-c_cen_start,12)&lt;ROUND(p_bond_tail_minsa,0)),1,0)))*Q9*Q6</f>
        <v/>
      </c>
      <c r="R33" s="14">
        <f>(s_Rc1/p_realiz*p_pwin_cen*p_bond_css*15/12*R13*(1+IF(AND(R$3-c_cen_start&gt;=15,MOD(R$3-c_cen_start,15)&lt;ROUND(p_bond_tail_css,0)),1,0))+s_Rc2/p_realiz_minsa*p_pwin_cen*p_minsa_occ*p_bond_minsa*R14*(1+IF(AND(R$3-c_cen_start&gt;=12,MOD(R$3-c_cen_start,12)&lt;ROUND(p_bond_tail_minsa,0)),1,0)))*R9*R6</f>
        <v/>
      </c>
      <c r="S33" s="14">
        <f>(s_Rc1/p_realiz*p_pwin_cen*p_bond_css*15/12*S13*(1+IF(AND(S$3-c_cen_start&gt;=15,MOD(S$3-c_cen_start,15)&lt;ROUND(p_bond_tail_css,0)),1,0))+s_Rc2/p_realiz_minsa*p_pwin_cen*p_minsa_occ*p_bond_minsa*S14*(1+IF(AND(S$3-c_cen_start&gt;=12,MOD(S$3-c_cen_start,12)&lt;ROUND(p_bond_tail_minsa,0)),1,0)))*S9*S6</f>
        <v/>
      </c>
      <c r="T33" s="14">
        <f>(s_Rc1/p_realiz*p_pwin_cen*p_bond_css*15/12*T13*(1+IF(AND(T$3-c_cen_start&gt;=15,MOD(T$3-c_cen_start,15)&lt;ROUND(p_bond_tail_css,0)),1,0))+s_Rc2/p_realiz_minsa*p_pwin_cen*p_minsa_occ*p_bond_minsa*T14*(1+IF(AND(T$3-c_cen_start&gt;=12,MOD(T$3-c_cen_start,12)&lt;ROUND(p_bond_tail_minsa,0)),1,0)))*T9*T6</f>
        <v/>
      </c>
      <c r="U33" s="14">
        <f>(s_Rc1/p_realiz*p_pwin_cen*p_bond_css*15/12*U13*(1+IF(AND(U$3-c_cen_start&gt;=15,MOD(U$3-c_cen_start,15)&lt;ROUND(p_bond_tail_css,0)),1,0))+s_Rc2/p_realiz_minsa*p_pwin_cen*p_minsa_occ*p_bond_minsa*U14*(1+IF(AND(U$3-c_cen_start&gt;=12,MOD(U$3-c_cen_start,12)&lt;ROUND(p_bond_tail_minsa,0)),1,0)))*U9*U6</f>
        <v/>
      </c>
      <c r="V33" s="14">
        <f>(s_Rc1/p_realiz*p_pwin_cen*p_bond_css*15/12*V13*(1+IF(AND(V$3-c_cen_start&gt;=15,MOD(V$3-c_cen_start,15)&lt;ROUND(p_bond_tail_css,0)),1,0))+s_Rc2/p_realiz_minsa*p_pwin_cen*p_minsa_occ*p_bond_minsa*V14*(1+IF(AND(V$3-c_cen_start&gt;=12,MOD(V$3-c_cen_start,12)&lt;ROUND(p_bond_tail_minsa,0)),1,0)))*V9*V6</f>
        <v/>
      </c>
      <c r="W33" s="14">
        <f>(s_Rc1/p_realiz*p_pwin_cen*p_bond_css*15/12*W13*(1+IF(AND(W$3-c_cen_start&gt;=15,MOD(W$3-c_cen_start,15)&lt;ROUND(p_bond_tail_css,0)),1,0))+s_Rc2/p_realiz_minsa*p_pwin_cen*p_minsa_occ*p_bond_minsa*W14*(1+IF(AND(W$3-c_cen_start&gt;=12,MOD(W$3-c_cen_start,12)&lt;ROUND(p_bond_tail_minsa,0)),1,0)))*W9*W6</f>
        <v/>
      </c>
      <c r="X33" s="14">
        <f>(s_Rc1/p_realiz*p_pwin_cen*p_bond_css*15/12*X13*(1+IF(AND(X$3-c_cen_start&gt;=15,MOD(X$3-c_cen_start,15)&lt;ROUND(p_bond_tail_css,0)),1,0))+s_Rc2/p_realiz_minsa*p_pwin_cen*p_minsa_occ*p_bond_minsa*X14*(1+IF(AND(X$3-c_cen_start&gt;=12,MOD(X$3-c_cen_start,12)&lt;ROUND(p_bond_tail_minsa,0)),1,0)))*X9*X6</f>
        <v/>
      </c>
      <c r="Y33" s="14">
        <f>(s_Rc1/p_realiz*p_pwin_cen*p_bond_css*15/12*Y13*(1+IF(AND(Y$3-c_cen_start&gt;=15,MOD(Y$3-c_cen_start,15)&lt;ROUND(p_bond_tail_css,0)),1,0))+s_Rc2/p_realiz_minsa*p_pwin_cen*p_minsa_occ*p_bond_minsa*Y14*(1+IF(AND(Y$3-c_cen_start&gt;=12,MOD(Y$3-c_cen_start,12)&lt;ROUND(p_bond_tail_minsa,0)),1,0)))*Y9*Y6</f>
        <v/>
      </c>
      <c r="Z33" s="14">
        <f>(s_Rc1/p_realiz*p_pwin_cen*p_bond_css*15/12*Z13*(1+IF(AND(Z$3-c_cen_start&gt;=15,MOD(Z$3-c_cen_start,15)&lt;ROUND(p_bond_tail_css,0)),1,0))+s_Rc2/p_realiz_minsa*p_pwin_cen*p_minsa_occ*p_bond_minsa*Z14*(1+IF(AND(Z$3-c_cen_start&gt;=12,MOD(Z$3-c_cen_start,12)&lt;ROUND(p_bond_tail_minsa,0)),1,0)))*Z9*Z6</f>
        <v/>
      </c>
      <c r="AA33" s="14">
        <f>(s_Rc1/p_realiz*p_pwin_cen*p_bond_css*15/12*AA13*(1+IF(AND(AA$3-c_cen_start&gt;=15,MOD(AA$3-c_cen_start,15)&lt;ROUND(p_bond_tail_css,0)),1,0))+s_Rc2/p_realiz_minsa*p_pwin_cen*p_minsa_occ*p_bond_minsa*AA14*(1+IF(AND(AA$3-c_cen_start&gt;=12,MOD(AA$3-c_cen_start,12)&lt;ROUND(p_bond_tail_minsa,0)),1,0)))*AA9*AA6</f>
        <v/>
      </c>
      <c r="AB33" s="14">
        <f>(s_Rc1/p_realiz*p_pwin_cen*p_bond_css*15/12*AB13*(1+IF(AND(AB$3-c_cen_start&gt;=15,MOD(AB$3-c_cen_start,15)&lt;ROUND(p_bond_tail_css,0)),1,0))+s_Rc2/p_realiz_minsa*p_pwin_cen*p_minsa_occ*p_bond_minsa*AB14*(1+IF(AND(AB$3-c_cen_start&gt;=12,MOD(AB$3-c_cen_start,12)&lt;ROUND(p_bond_tail_minsa,0)),1,0)))*AB9*AB6</f>
        <v/>
      </c>
      <c r="AC33" s="14">
        <f>(s_Rc1/p_realiz*p_pwin_cen*p_bond_css*15/12*AC13*(1+IF(AND(AC$3-c_cen_start&gt;=15,MOD(AC$3-c_cen_start,15)&lt;ROUND(p_bond_tail_css,0)),1,0))+s_Rc2/p_realiz_minsa*p_pwin_cen*p_minsa_occ*p_bond_minsa*AC14*(1+IF(AND(AC$3-c_cen_start&gt;=12,MOD(AC$3-c_cen_start,12)&lt;ROUND(p_bond_tail_minsa,0)),1,0)))*AC9*AC6</f>
        <v/>
      </c>
      <c r="AD33" s="14">
        <f>(s_Rc1/p_realiz*p_pwin_cen*p_bond_css*15/12*AD13*(1+IF(AND(AD$3-c_cen_start&gt;=15,MOD(AD$3-c_cen_start,15)&lt;ROUND(p_bond_tail_css,0)),1,0))+s_Rc2/p_realiz_minsa*p_pwin_cen*p_minsa_occ*p_bond_minsa*AD14*(1+IF(AND(AD$3-c_cen_start&gt;=12,MOD(AD$3-c_cen_start,12)&lt;ROUND(p_bond_tail_minsa,0)),1,0)))*AD9*AD6</f>
        <v/>
      </c>
      <c r="AE33" s="14">
        <f>(s_Rc1/p_realiz*p_pwin_cen*p_bond_css*15/12*AE13*(1+IF(AND(AE$3-c_cen_start&gt;=15,MOD(AE$3-c_cen_start,15)&lt;ROUND(p_bond_tail_css,0)),1,0))+s_Rc2/p_realiz_minsa*p_pwin_cen*p_minsa_occ*p_bond_minsa*AE14*(1+IF(AND(AE$3-c_cen_start&gt;=12,MOD(AE$3-c_cen_start,12)&lt;ROUND(p_bond_tail_minsa,0)),1,0)))*AE9*AE6</f>
        <v/>
      </c>
      <c r="AF33" s="14">
        <f>(s_Rc1/p_realiz*p_pwin_cen*p_bond_css*15/12*AF13*(1+IF(AND(AF$3-c_cen_start&gt;=15,MOD(AF$3-c_cen_start,15)&lt;ROUND(p_bond_tail_css,0)),1,0))+s_Rc2/p_realiz_minsa*p_pwin_cen*p_minsa_occ*p_bond_minsa*AF14*(1+IF(AND(AF$3-c_cen_start&gt;=12,MOD(AF$3-c_cen_start,12)&lt;ROUND(p_bond_tail_minsa,0)),1,0)))*AF9*AF6</f>
        <v/>
      </c>
      <c r="AG33" s="14">
        <f>(s_Rc1/p_realiz*p_pwin_cen*p_bond_css*15/12*AG13*(1+IF(AND(AG$3-c_cen_start&gt;=15,MOD(AG$3-c_cen_start,15)&lt;ROUND(p_bond_tail_css,0)),1,0))+s_Rc2/p_realiz_minsa*p_pwin_cen*p_minsa_occ*p_bond_minsa*AG14*(1+IF(AND(AG$3-c_cen_start&gt;=12,MOD(AG$3-c_cen_start,12)&lt;ROUND(p_bond_tail_minsa,0)),1,0)))*AG9*AG6</f>
        <v/>
      </c>
      <c r="AH33" s="14">
        <f>(s_Rc1/p_realiz*p_pwin_cen*p_bond_css*15/12*AH13*(1+IF(AND(AH$3-c_cen_start&gt;=15,MOD(AH$3-c_cen_start,15)&lt;ROUND(p_bond_tail_css,0)),1,0))+s_Rc2/p_realiz_minsa*p_pwin_cen*p_minsa_occ*p_bond_minsa*AH14*(1+IF(AND(AH$3-c_cen_start&gt;=12,MOD(AH$3-c_cen_start,12)&lt;ROUND(p_bond_tail_minsa,0)),1,0)))*AH9*AH6</f>
        <v/>
      </c>
      <c r="AI33" s="14">
        <f>(s_Rc1/p_realiz*p_pwin_cen*p_bond_css*15/12*AI13*(1+IF(AND(AI$3-c_cen_start&gt;=15,MOD(AI$3-c_cen_start,15)&lt;ROUND(p_bond_tail_css,0)),1,0))+s_Rc2/p_realiz_minsa*p_pwin_cen*p_minsa_occ*p_bond_minsa*AI14*(1+IF(AND(AI$3-c_cen_start&gt;=12,MOD(AI$3-c_cen_start,12)&lt;ROUND(p_bond_tail_minsa,0)),1,0)))*AI9*AI6</f>
        <v/>
      </c>
      <c r="AJ33" s="14">
        <f>(s_Rc1/p_realiz*p_pwin_cen*p_bond_css*15/12*AJ13*(1+IF(AND(AJ$3-c_cen_start&gt;=15,MOD(AJ$3-c_cen_start,15)&lt;ROUND(p_bond_tail_css,0)),1,0))+s_Rc2/p_realiz_minsa*p_pwin_cen*p_minsa_occ*p_bond_minsa*AJ14*(1+IF(AND(AJ$3-c_cen_start&gt;=12,MOD(AJ$3-c_cen_start,12)&lt;ROUND(p_bond_tail_minsa,0)),1,0)))*AJ9*AJ6</f>
        <v/>
      </c>
      <c r="AK33" s="14">
        <f>(s_Rc1/p_realiz*p_pwin_cen*p_bond_css*15/12*AK13*(1+IF(AND(AK$3-c_cen_start&gt;=15,MOD(AK$3-c_cen_start,15)&lt;ROUND(p_bond_tail_css,0)),1,0))+s_Rc2/p_realiz_minsa*p_pwin_cen*p_minsa_occ*p_bond_minsa*AK14*(1+IF(AND(AK$3-c_cen_start&gt;=12,MOD(AK$3-c_cen_start,12)&lt;ROUND(p_bond_tail_minsa,0)),1,0)))*AK9*AK6</f>
        <v/>
      </c>
      <c r="AL33" s="14">
        <f>(s_Rc1/p_realiz*p_pwin_cen*p_bond_css*15/12*AL13*(1+IF(AND(AL$3-c_cen_start&gt;=15,MOD(AL$3-c_cen_start,15)&lt;ROUND(p_bond_tail_css,0)),1,0))+s_Rc2/p_realiz_minsa*p_pwin_cen*p_minsa_occ*p_bond_minsa*AL14*(1+IF(AND(AL$3-c_cen_start&gt;=12,MOD(AL$3-c_cen_start,12)&lt;ROUND(p_bond_tail_minsa,0)),1,0)))*AL9*AL6</f>
        <v/>
      </c>
      <c r="AM33" s="14">
        <f>(s_Rc1/p_realiz*p_pwin_cen*p_bond_css*15/12*AM13*(1+IF(AND(AM$3-c_cen_start&gt;=15,MOD(AM$3-c_cen_start,15)&lt;ROUND(p_bond_tail_css,0)),1,0))+s_Rc2/p_realiz_minsa*p_pwin_cen*p_minsa_occ*p_bond_minsa*AM14*(1+IF(AND(AM$3-c_cen_start&gt;=12,MOD(AM$3-c_cen_start,12)&lt;ROUND(p_bond_tail_minsa,0)),1,0)))*AM9*AM6</f>
        <v/>
      </c>
      <c r="AN33" s="14">
        <f>(s_Rc1/p_realiz*p_pwin_cen*p_bond_css*15/12*AN13*(1+IF(AND(AN$3-c_cen_start&gt;=15,MOD(AN$3-c_cen_start,15)&lt;ROUND(p_bond_tail_css,0)),1,0))+s_Rc2/p_realiz_minsa*p_pwin_cen*p_minsa_occ*p_bond_minsa*AN14*(1+IF(AND(AN$3-c_cen_start&gt;=12,MOD(AN$3-c_cen_start,12)&lt;ROUND(p_bond_tail_minsa,0)),1,0)))*AN9*AN6</f>
        <v/>
      </c>
      <c r="AO33" s="14">
        <f>(s_Rc1/p_realiz*p_pwin_cen*p_bond_css*15/12*AO13*(1+IF(AND(AO$3-c_cen_start&gt;=15,MOD(AO$3-c_cen_start,15)&lt;ROUND(p_bond_tail_css,0)),1,0))+s_Rc2/p_realiz_minsa*p_pwin_cen*p_minsa_occ*p_bond_minsa*AO14*(1+IF(AND(AO$3-c_cen_start&gt;=12,MOD(AO$3-c_cen_start,12)&lt;ROUND(p_bond_tail_minsa,0)),1,0)))*AO9*AO6</f>
        <v/>
      </c>
      <c r="AP33" s="14">
        <f>(s_Rc1/p_realiz*p_pwin_cen*p_bond_css*15/12*AP13*(1+IF(AND(AP$3-c_cen_start&gt;=15,MOD(AP$3-c_cen_start,15)&lt;ROUND(p_bond_tail_css,0)),1,0))+s_Rc2/p_realiz_minsa*p_pwin_cen*p_minsa_occ*p_bond_minsa*AP14*(1+IF(AND(AP$3-c_cen_start&gt;=12,MOD(AP$3-c_cen_start,12)&lt;ROUND(p_bond_tail_minsa,0)),1,0)))*AP9*AP6</f>
        <v/>
      </c>
      <c r="AQ33" s="14">
        <f>(s_Rc1/p_realiz*p_pwin_cen*p_bond_css*15/12*AQ13*(1+IF(AND(AQ$3-c_cen_start&gt;=15,MOD(AQ$3-c_cen_start,15)&lt;ROUND(p_bond_tail_css,0)),1,0))+s_Rc2/p_realiz_minsa*p_pwin_cen*p_minsa_occ*p_bond_minsa*AQ14*(1+IF(AND(AQ$3-c_cen_start&gt;=12,MOD(AQ$3-c_cen_start,12)&lt;ROUND(p_bond_tail_minsa,0)),1,0)))*AQ9*AQ6</f>
        <v/>
      </c>
      <c r="AR33" s="14">
        <f>(s_Rc1/p_realiz*p_pwin_cen*p_bond_css*15/12*AR13*(1+IF(AND(AR$3-c_cen_start&gt;=15,MOD(AR$3-c_cen_start,15)&lt;ROUND(p_bond_tail_css,0)),1,0))+s_Rc2/p_realiz_minsa*p_pwin_cen*p_minsa_occ*p_bond_minsa*AR14*(1+IF(AND(AR$3-c_cen_start&gt;=12,MOD(AR$3-c_cen_start,12)&lt;ROUND(p_bond_tail_minsa,0)),1,0)))*AR9*AR6</f>
        <v/>
      </c>
      <c r="AS33" s="14">
        <f>(s_Rc1/p_realiz*p_pwin_cen*p_bond_css*15/12*AS13*(1+IF(AND(AS$3-c_cen_start&gt;=15,MOD(AS$3-c_cen_start,15)&lt;ROUND(p_bond_tail_css,0)),1,0))+s_Rc2/p_realiz_minsa*p_pwin_cen*p_minsa_occ*p_bond_minsa*AS14*(1+IF(AND(AS$3-c_cen_start&gt;=12,MOD(AS$3-c_cen_start,12)&lt;ROUND(p_bond_tail_minsa,0)),1,0)))*AS9*AS6</f>
        <v/>
      </c>
      <c r="AT33" s="14">
        <f>(s_Rc1/p_realiz*p_pwin_cen*p_bond_css*15/12*AT13*(1+IF(AND(AT$3-c_cen_start&gt;=15,MOD(AT$3-c_cen_start,15)&lt;ROUND(p_bond_tail_css,0)),1,0))+s_Rc2/p_realiz_minsa*p_pwin_cen*p_minsa_occ*p_bond_minsa*AT14*(1+IF(AND(AT$3-c_cen_start&gt;=12,MOD(AT$3-c_cen_start,12)&lt;ROUND(p_bond_tail_minsa,0)),1,0)))*AT9*AT6</f>
        <v/>
      </c>
      <c r="AU33" s="14">
        <f>(s_Rc1/p_realiz*p_pwin_cen*p_bond_css*15/12*AU13*(1+IF(AND(AU$3-c_cen_start&gt;=15,MOD(AU$3-c_cen_start,15)&lt;ROUND(p_bond_tail_css,0)),1,0))+s_Rc2/p_realiz_minsa*p_pwin_cen*p_minsa_occ*p_bond_minsa*AU14*(1+IF(AND(AU$3-c_cen_start&gt;=12,MOD(AU$3-c_cen_start,12)&lt;ROUND(p_bond_tail_minsa,0)),1,0)))*AU9*AU6</f>
        <v/>
      </c>
      <c r="AV33" s="14">
        <f>(s_Rc1/p_realiz*p_pwin_cen*p_bond_css*15/12*AV13*(1+IF(AND(AV$3-c_cen_start&gt;=15,MOD(AV$3-c_cen_start,15)&lt;ROUND(p_bond_tail_css,0)),1,0))+s_Rc2/p_realiz_minsa*p_pwin_cen*p_minsa_occ*p_bond_minsa*AV14*(1+IF(AND(AV$3-c_cen_start&gt;=12,MOD(AV$3-c_cen_start,12)&lt;ROUND(p_bond_tail_minsa,0)),1,0)))*AV9*AV6</f>
        <v/>
      </c>
      <c r="AW33" s="14">
        <f>(s_Rc1/p_realiz*p_pwin_cen*p_bond_css*15/12*AW13*(1+IF(AND(AW$3-c_cen_start&gt;=15,MOD(AW$3-c_cen_start,15)&lt;ROUND(p_bond_tail_css,0)),1,0))+s_Rc2/p_realiz_minsa*p_pwin_cen*p_minsa_occ*p_bond_minsa*AW14*(1+IF(AND(AW$3-c_cen_start&gt;=12,MOD(AW$3-c_cen_start,12)&lt;ROUND(p_bond_tail_minsa,0)),1,0)))*AW9*AW6</f>
        <v/>
      </c>
      <c r="AX33" s="14">
        <f>(s_Rc1/p_realiz*p_pwin_cen*p_bond_css*15/12*AX13*(1+IF(AND(AX$3-c_cen_start&gt;=15,MOD(AX$3-c_cen_start,15)&lt;ROUND(p_bond_tail_css,0)),1,0))+s_Rc2/p_realiz_minsa*p_pwin_cen*p_minsa_occ*p_bond_minsa*AX14*(1+IF(AND(AX$3-c_cen_start&gt;=12,MOD(AX$3-c_cen_start,12)&lt;ROUND(p_bond_tail_minsa,0)),1,0)))*AX9*AX6</f>
        <v/>
      </c>
      <c r="AY33" s="14">
        <f>(s_Rc1/p_realiz*p_pwin_cen*p_bond_css*15/12*AY13*(1+IF(AND(AY$3-c_cen_start&gt;=15,MOD(AY$3-c_cen_start,15)&lt;ROUND(p_bond_tail_css,0)),1,0))+s_Rc2/p_realiz_minsa*p_pwin_cen*p_minsa_occ*p_bond_minsa*AY14*(1+IF(AND(AY$3-c_cen_start&gt;=12,MOD(AY$3-c_cen_start,12)&lt;ROUND(p_bond_tail_minsa,0)),1,0)))*AY9*AY6</f>
        <v/>
      </c>
      <c r="AZ33" s="14">
        <f>(s_Rc1/p_realiz*p_pwin_cen*p_bond_css*15/12*AZ13*(1+IF(AND(AZ$3-c_cen_start&gt;=15,MOD(AZ$3-c_cen_start,15)&lt;ROUND(p_bond_tail_css,0)),1,0))+s_Rc2/p_realiz_minsa*p_pwin_cen*p_minsa_occ*p_bond_minsa*AZ14*(1+IF(AND(AZ$3-c_cen_start&gt;=12,MOD(AZ$3-c_cen_start,12)&lt;ROUND(p_bond_tail_minsa,0)),1,0)))*AZ9*AZ6</f>
        <v/>
      </c>
      <c r="BA33" s="14">
        <f>(s_Rc1/p_realiz*p_pwin_cen*p_bond_css*15/12*BA13*(1+IF(AND(BA$3-c_cen_start&gt;=15,MOD(BA$3-c_cen_start,15)&lt;ROUND(p_bond_tail_css,0)),1,0))+s_Rc2/p_realiz_minsa*p_pwin_cen*p_minsa_occ*p_bond_minsa*BA14*(1+IF(AND(BA$3-c_cen_start&gt;=12,MOD(BA$3-c_cen_start,12)&lt;ROUND(p_bond_tail_minsa,0)),1,0)))*BA9*BA6</f>
        <v/>
      </c>
      <c r="BB33" s="14">
        <f>(s_Rc1/p_realiz*p_pwin_cen*p_bond_css*15/12*BB13*(1+IF(AND(BB$3-c_cen_start&gt;=15,MOD(BB$3-c_cen_start,15)&lt;ROUND(p_bond_tail_css,0)),1,0))+s_Rc2/p_realiz_minsa*p_pwin_cen*p_minsa_occ*p_bond_minsa*BB14*(1+IF(AND(BB$3-c_cen_start&gt;=12,MOD(BB$3-c_cen_start,12)&lt;ROUND(p_bond_tail_minsa,0)),1,0)))*BB9*BB6</f>
        <v/>
      </c>
      <c r="BC33" s="14">
        <f>(s_Rc1/p_realiz*p_pwin_cen*p_bond_css*15/12*BC13*(1+IF(AND(BC$3-c_cen_start&gt;=15,MOD(BC$3-c_cen_start,15)&lt;ROUND(p_bond_tail_css,0)),1,0))+s_Rc2/p_realiz_minsa*p_pwin_cen*p_minsa_occ*p_bond_minsa*BC14*(1+IF(AND(BC$3-c_cen_start&gt;=12,MOD(BC$3-c_cen_start,12)&lt;ROUND(p_bond_tail_minsa,0)),1,0)))*BC9*BC6</f>
        <v/>
      </c>
      <c r="BD33" s="14">
        <f>(s_Rc1/p_realiz*p_pwin_cen*p_bond_css*15/12*BD13*(1+IF(AND(BD$3-c_cen_start&gt;=15,MOD(BD$3-c_cen_start,15)&lt;ROUND(p_bond_tail_css,0)),1,0))+s_Rc2/p_realiz_minsa*p_pwin_cen*p_minsa_occ*p_bond_minsa*BD14*(1+IF(AND(BD$3-c_cen_start&gt;=12,MOD(BD$3-c_cen_start,12)&lt;ROUND(p_bond_tail_minsa,0)),1,0)))*BD9*BD6</f>
        <v/>
      </c>
      <c r="BE33" s="14">
        <f>(s_Rc1/p_realiz*p_pwin_cen*p_bond_css*15/12*BE13*(1+IF(AND(BE$3-c_cen_start&gt;=15,MOD(BE$3-c_cen_start,15)&lt;ROUND(p_bond_tail_css,0)),1,0))+s_Rc2/p_realiz_minsa*p_pwin_cen*p_minsa_occ*p_bond_minsa*BE14*(1+IF(AND(BE$3-c_cen_start&gt;=12,MOD(BE$3-c_cen_start,12)&lt;ROUND(p_bond_tail_minsa,0)),1,0)))*BE9*BE6</f>
        <v/>
      </c>
      <c r="BF33" s="14">
        <f>(s_Rc1/p_realiz*p_pwin_cen*p_bond_css*15/12*BF13*(1+IF(AND(BF$3-c_cen_start&gt;=15,MOD(BF$3-c_cen_start,15)&lt;ROUND(p_bond_tail_css,0)),1,0))+s_Rc2/p_realiz_minsa*p_pwin_cen*p_minsa_occ*p_bond_minsa*BF14*(1+IF(AND(BF$3-c_cen_start&gt;=12,MOD(BF$3-c_cen_start,12)&lt;ROUND(p_bond_tail_minsa,0)),1,0)))*BF9*BF6</f>
        <v/>
      </c>
      <c r="BG33" s="14">
        <f>(s_Rc1/p_realiz*p_pwin_cen*p_bond_css*15/12*BG13*(1+IF(AND(BG$3-c_cen_start&gt;=15,MOD(BG$3-c_cen_start,15)&lt;ROUND(p_bond_tail_css,0)),1,0))+s_Rc2/p_realiz_minsa*p_pwin_cen*p_minsa_occ*p_bond_minsa*BG14*(1+IF(AND(BG$3-c_cen_start&gt;=12,MOD(BG$3-c_cen_start,12)&lt;ROUND(p_bond_tail_minsa,0)),1,0)))*BG9*BG6</f>
        <v/>
      </c>
      <c r="BH33" s="14">
        <f>(s_Rc1/p_realiz*p_pwin_cen*p_bond_css*15/12*BH13*(1+IF(AND(BH$3-c_cen_start&gt;=15,MOD(BH$3-c_cen_start,15)&lt;ROUND(p_bond_tail_css,0)),1,0))+s_Rc2/p_realiz_minsa*p_pwin_cen*p_minsa_occ*p_bond_minsa*BH14*(1+IF(AND(BH$3-c_cen_start&gt;=12,MOD(BH$3-c_cen_start,12)&lt;ROUND(p_bond_tail_minsa,0)),1,0)))*BH9*BH6</f>
        <v/>
      </c>
      <c r="BI33" s="14">
        <f>(s_Rc1/p_realiz*p_pwin_cen*p_bond_css*15/12*BI13*(1+IF(AND(BI$3-c_cen_start&gt;=15,MOD(BI$3-c_cen_start,15)&lt;ROUND(p_bond_tail_css,0)),1,0))+s_Rc2/p_realiz_minsa*p_pwin_cen*p_minsa_occ*p_bond_minsa*BI14*(1+IF(AND(BI$3-c_cen_start&gt;=12,MOD(BI$3-c_cen_start,12)&lt;ROUND(p_bond_tail_minsa,0)),1,0)))*BI9*BI6</f>
        <v/>
      </c>
      <c r="BJ33" s="14">
        <f>(s_Rc1/p_realiz*p_pwin_cen*p_bond_css*15/12*BJ13*(1+IF(AND(BJ$3-c_cen_start&gt;=15,MOD(BJ$3-c_cen_start,15)&lt;ROUND(p_bond_tail_css,0)),1,0))+s_Rc2/p_realiz_minsa*p_pwin_cen*p_minsa_occ*p_bond_minsa*BJ14*(1+IF(AND(BJ$3-c_cen_start&gt;=12,MOD(BJ$3-c_cen_start,12)&lt;ROUND(p_bond_tail_minsa,0)),1,0)))*BJ9*BJ6</f>
        <v/>
      </c>
      <c r="BK33" s="14">
        <f>(s_Rc1/p_realiz*p_pwin_cen*p_bond_css*15/12*BK13*(1+IF(AND(BK$3-c_cen_start&gt;=15,MOD(BK$3-c_cen_start,15)&lt;ROUND(p_bond_tail_css,0)),1,0))+s_Rc2/p_realiz_minsa*p_pwin_cen*p_minsa_occ*p_bond_minsa*BK14*(1+IF(AND(BK$3-c_cen_start&gt;=12,MOD(BK$3-c_cen_start,12)&lt;ROUND(p_bond_tail_minsa,0)),1,0)))*BK9*BK6</f>
        <v/>
      </c>
    </row>
    <row r="34">
      <c r="A34" s="9" t="inlineStr">
        <is>
          <t>Fianza de propuesta vigente (LPU)</t>
        </is>
      </c>
      <c r="D34" s="14">
        <f>p_bid_bond*s_bid*15/12*D13*IF(AND(D$3&gt;=c_cen_start-c_bid_m,MOD(D$3-(c_cen_start-c_bid_m),15)&lt;c_bid_m),1,0)*D6</f>
        <v/>
      </c>
      <c r="E34" s="14">
        <f>p_bid_bond*s_bid*15/12*E13*IF(AND(E$3&gt;=c_cen_start-c_bid_m,MOD(E$3-(c_cen_start-c_bid_m),15)&lt;c_bid_m),1,0)*E6</f>
        <v/>
      </c>
      <c r="F34" s="14">
        <f>p_bid_bond*s_bid*15/12*F13*IF(AND(F$3&gt;=c_cen_start-c_bid_m,MOD(F$3-(c_cen_start-c_bid_m),15)&lt;c_bid_m),1,0)*F6</f>
        <v/>
      </c>
      <c r="G34" s="14">
        <f>p_bid_bond*s_bid*15/12*G13*IF(AND(G$3&gt;=c_cen_start-c_bid_m,MOD(G$3-(c_cen_start-c_bid_m),15)&lt;c_bid_m),1,0)*G6</f>
        <v/>
      </c>
      <c r="H34" s="14">
        <f>p_bid_bond*s_bid*15/12*H13*IF(AND(H$3&gt;=c_cen_start-c_bid_m,MOD(H$3-(c_cen_start-c_bid_m),15)&lt;c_bid_m),1,0)*H6</f>
        <v/>
      </c>
      <c r="I34" s="14">
        <f>p_bid_bond*s_bid*15/12*I13*IF(AND(I$3&gt;=c_cen_start-c_bid_m,MOD(I$3-(c_cen_start-c_bid_m),15)&lt;c_bid_m),1,0)*I6</f>
        <v/>
      </c>
      <c r="J34" s="14">
        <f>p_bid_bond*s_bid*15/12*J13*IF(AND(J$3&gt;=c_cen_start-c_bid_m,MOD(J$3-(c_cen_start-c_bid_m),15)&lt;c_bid_m),1,0)*J6</f>
        <v/>
      </c>
      <c r="K34" s="14">
        <f>p_bid_bond*s_bid*15/12*K13*IF(AND(K$3&gt;=c_cen_start-c_bid_m,MOD(K$3-(c_cen_start-c_bid_m),15)&lt;c_bid_m),1,0)*K6</f>
        <v/>
      </c>
      <c r="L34" s="14">
        <f>p_bid_bond*s_bid*15/12*L13*IF(AND(L$3&gt;=c_cen_start-c_bid_m,MOD(L$3-(c_cen_start-c_bid_m),15)&lt;c_bid_m),1,0)*L6</f>
        <v/>
      </c>
      <c r="M34" s="14">
        <f>p_bid_bond*s_bid*15/12*M13*IF(AND(M$3&gt;=c_cen_start-c_bid_m,MOD(M$3-(c_cen_start-c_bid_m),15)&lt;c_bid_m),1,0)*M6</f>
        <v/>
      </c>
      <c r="N34" s="14">
        <f>p_bid_bond*s_bid*15/12*N13*IF(AND(N$3&gt;=c_cen_start-c_bid_m,MOD(N$3-(c_cen_start-c_bid_m),15)&lt;c_bid_m),1,0)*N6</f>
        <v/>
      </c>
      <c r="O34" s="14">
        <f>p_bid_bond*s_bid*15/12*O13*IF(AND(O$3&gt;=c_cen_start-c_bid_m,MOD(O$3-(c_cen_start-c_bid_m),15)&lt;c_bid_m),1,0)*O6</f>
        <v/>
      </c>
      <c r="P34" s="14">
        <f>p_bid_bond*s_bid*15/12*P13*IF(AND(P$3&gt;=c_cen_start-c_bid_m,MOD(P$3-(c_cen_start-c_bid_m),15)&lt;c_bid_m),1,0)*P6</f>
        <v/>
      </c>
      <c r="Q34" s="14">
        <f>p_bid_bond*s_bid*15/12*Q13*IF(AND(Q$3&gt;=c_cen_start-c_bid_m,MOD(Q$3-(c_cen_start-c_bid_m),15)&lt;c_bid_m),1,0)*Q6</f>
        <v/>
      </c>
      <c r="R34" s="14">
        <f>p_bid_bond*s_bid*15/12*R13*IF(AND(R$3&gt;=c_cen_start-c_bid_m,MOD(R$3-(c_cen_start-c_bid_m),15)&lt;c_bid_m),1,0)*R6</f>
        <v/>
      </c>
      <c r="S34" s="14">
        <f>p_bid_bond*s_bid*15/12*S13*IF(AND(S$3&gt;=c_cen_start-c_bid_m,MOD(S$3-(c_cen_start-c_bid_m),15)&lt;c_bid_m),1,0)*S6</f>
        <v/>
      </c>
      <c r="T34" s="14">
        <f>p_bid_bond*s_bid*15/12*T13*IF(AND(T$3&gt;=c_cen_start-c_bid_m,MOD(T$3-(c_cen_start-c_bid_m),15)&lt;c_bid_m),1,0)*T6</f>
        <v/>
      </c>
      <c r="U34" s="14">
        <f>p_bid_bond*s_bid*15/12*U13*IF(AND(U$3&gt;=c_cen_start-c_bid_m,MOD(U$3-(c_cen_start-c_bid_m),15)&lt;c_bid_m),1,0)*U6</f>
        <v/>
      </c>
      <c r="V34" s="14">
        <f>p_bid_bond*s_bid*15/12*V13*IF(AND(V$3&gt;=c_cen_start-c_bid_m,MOD(V$3-(c_cen_start-c_bid_m),15)&lt;c_bid_m),1,0)*V6</f>
        <v/>
      </c>
      <c r="W34" s="14">
        <f>p_bid_bond*s_bid*15/12*W13*IF(AND(W$3&gt;=c_cen_start-c_bid_m,MOD(W$3-(c_cen_start-c_bid_m),15)&lt;c_bid_m),1,0)*W6</f>
        <v/>
      </c>
      <c r="X34" s="14">
        <f>p_bid_bond*s_bid*15/12*X13*IF(AND(X$3&gt;=c_cen_start-c_bid_m,MOD(X$3-(c_cen_start-c_bid_m),15)&lt;c_bid_m),1,0)*X6</f>
        <v/>
      </c>
      <c r="Y34" s="14">
        <f>p_bid_bond*s_bid*15/12*Y13*IF(AND(Y$3&gt;=c_cen_start-c_bid_m,MOD(Y$3-(c_cen_start-c_bid_m),15)&lt;c_bid_m),1,0)*Y6</f>
        <v/>
      </c>
      <c r="Z34" s="14">
        <f>p_bid_bond*s_bid*15/12*Z13*IF(AND(Z$3&gt;=c_cen_start-c_bid_m,MOD(Z$3-(c_cen_start-c_bid_m),15)&lt;c_bid_m),1,0)*Z6</f>
        <v/>
      </c>
      <c r="AA34" s="14">
        <f>p_bid_bond*s_bid*15/12*AA13*IF(AND(AA$3&gt;=c_cen_start-c_bid_m,MOD(AA$3-(c_cen_start-c_bid_m),15)&lt;c_bid_m),1,0)*AA6</f>
        <v/>
      </c>
      <c r="AB34" s="14">
        <f>p_bid_bond*s_bid*15/12*AB13*IF(AND(AB$3&gt;=c_cen_start-c_bid_m,MOD(AB$3-(c_cen_start-c_bid_m),15)&lt;c_bid_m),1,0)*AB6</f>
        <v/>
      </c>
      <c r="AC34" s="14">
        <f>p_bid_bond*s_bid*15/12*AC13*IF(AND(AC$3&gt;=c_cen_start-c_bid_m,MOD(AC$3-(c_cen_start-c_bid_m),15)&lt;c_bid_m),1,0)*AC6</f>
        <v/>
      </c>
      <c r="AD34" s="14">
        <f>p_bid_bond*s_bid*15/12*AD13*IF(AND(AD$3&gt;=c_cen_start-c_bid_m,MOD(AD$3-(c_cen_start-c_bid_m),15)&lt;c_bid_m),1,0)*AD6</f>
        <v/>
      </c>
      <c r="AE34" s="14">
        <f>p_bid_bond*s_bid*15/12*AE13*IF(AND(AE$3&gt;=c_cen_start-c_bid_m,MOD(AE$3-(c_cen_start-c_bid_m),15)&lt;c_bid_m),1,0)*AE6</f>
        <v/>
      </c>
      <c r="AF34" s="14">
        <f>p_bid_bond*s_bid*15/12*AF13*IF(AND(AF$3&gt;=c_cen_start-c_bid_m,MOD(AF$3-(c_cen_start-c_bid_m),15)&lt;c_bid_m),1,0)*AF6</f>
        <v/>
      </c>
      <c r="AG34" s="14">
        <f>p_bid_bond*s_bid*15/12*AG13*IF(AND(AG$3&gt;=c_cen_start-c_bid_m,MOD(AG$3-(c_cen_start-c_bid_m),15)&lt;c_bid_m),1,0)*AG6</f>
        <v/>
      </c>
      <c r="AH34" s="14">
        <f>p_bid_bond*s_bid*15/12*AH13*IF(AND(AH$3&gt;=c_cen_start-c_bid_m,MOD(AH$3-(c_cen_start-c_bid_m),15)&lt;c_bid_m),1,0)*AH6</f>
        <v/>
      </c>
      <c r="AI34" s="14">
        <f>p_bid_bond*s_bid*15/12*AI13*IF(AND(AI$3&gt;=c_cen_start-c_bid_m,MOD(AI$3-(c_cen_start-c_bid_m),15)&lt;c_bid_m),1,0)*AI6</f>
        <v/>
      </c>
      <c r="AJ34" s="14">
        <f>p_bid_bond*s_bid*15/12*AJ13*IF(AND(AJ$3&gt;=c_cen_start-c_bid_m,MOD(AJ$3-(c_cen_start-c_bid_m),15)&lt;c_bid_m),1,0)*AJ6</f>
        <v/>
      </c>
      <c r="AK34" s="14">
        <f>p_bid_bond*s_bid*15/12*AK13*IF(AND(AK$3&gt;=c_cen_start-c_bid_m,MOD(AK$3-(c_cen_start-c_bid_m),15)&lt;c_bid_m),1,0)*AK6</f>
        <v/>
      </c>
      <c r="AL34" s="14">
        <f>p_bid_bond*s_bid*15/12*AL13*IF(AND(AL$3&gt;=c_cen_start-c_bid_m,MOD(AL$3-(c_cen_start-c_bid_m),15)&lt;c_bid_m),1,0)*AL6</f>
        <v/>
      </c>
      <c r="AM34" s="14">
        <f>p_bid_bond*s_bid*15/12*AM13*IF(AND(AM$3&gt;=c_cen_start-c_bid_m,MOD(AM$3-(c_cen_start-c_bid_m),15)&lt;c_bid_m),1,0)*AM6</f>
        <v/>
      </c>
      <c r="AN34" s="14">
        <f>p_bid_bond*s_bid*15/12*AN13*IF(AND(AN$3&gt;=c_cen_start-c_bid_m,MOD(AN$3-(c_cen_start-c_bid_m),15)&lt;c_bid_m),1,0)*AN6</f>
        <v/>
      </c>
      <c r="AO34" s="14">
        <f>p_bid_bond*s_bid*15/12*AO13*IF(AND(AO$3&gt;=c_cen_start-c_bid_m,MOD(AO$3-(c_cen_start-c_bid_m),15)&lt;c_bid_m),1,0)*AO6</f>
        <v/>
      </c>
      <c r="AP34" s="14">
        <f>p_bid_bond*s_bid*15/12*AP13*IF(AND(AP$3&gt;=c_cen_start-c_bid_m,MOD(AP$3-(c_cen_start-c_bid_m),15)&lt;c_bid_m),1,0)*AP6</f>
        <v/>
      </c>
      <c r="AQ34" s="14">
        <f>p_bid_bond*s_bid*15/12*AQ13*IF(AND(AQ$3&gt;=c_cen_start-c_bid_m,MOD(AQ$3-(c_cen_start-c_bid_m),15)&lt;c_bid_m),1,0)*AQ6</f>
        <v/>
      </c>
      <c r="AR34" s="14">
        <f>p_bid_bond*s_bid*15/12*AR13*IF(AND(AR$3&gt;=c_cen_start-c_bid_m,MOD(AR$3-(c_cen_start-c_bid_m),15)&lt;c_bid_m),1,0)*AR6</f>
        <v/>
      </c>
      <c r="AS34" s="14">
        <f>p_bid_bond*s_bid*15/12*AS13*IF(AND(AS$3&gt;=c_cen_start-c_bid_m,MOD(AS$3-(c_cen_start-c_bid_m),15)&lt;c_bid_m),1,0)*AS6</f>
        <v/>
      </c>
      <c r="AT34" s="14">
        <f>p_bid_bond*s_bid*15/12*AT13*IF(AND(AT$3&gt;=c_cen_start-c_bid_m,MOD(AT$3-(c_cen_start-c_bid_m),15)&lt;c_bid_m),1,0)*AT6</f>
        <v/>
      </c>
      <c r="AU34" s="14">
        <f>p_bid_bond*s_bid*15/12*AU13*IF(AND(AU$3&gt;=c_cen_start-c_bid_m,MOD(AU$3-(c_cen_start-c_bid_m),15)&lt;c_bid_m),1,0)*AU6</f>
        <v/>
      </c>
      <c r="AV34" s="14">
        <f>p_bid_bond*s_bid*15/12*AV13*IF(AND(AV$3&gt;=c_cen_start-c_bid_m,MOD(AV$3-(c_cen_start-c_bid_m),15)&lt;c_bid_m),1,0)*AV6</f>
        <v/>
      </c>
      <c r="AW34" s="14">
        <f>p_bid_bond*s_bid*15/12*AW13*IF(AND(AW$3&gt;=c_cen_start-c_bid_m,MOD(AW$3-(c_cen_start-c_bid_m),15)&lt;c_bid_m),1,0)*AW6</f>
        <v/>
      </c>
      <c r="AX34" s="14">
        <f>p_bid_bond*s_bid*15/12*AX13*IF(AND(AX$3&gt;=c_cen_start-c_bid_m,MOD(AX$3-(c_cen_start-c_bid_m),15)&lt;c_bid_m),1,0)*AX6</f>
        <v/>
      </c>
      <c r="AY34" s="14">
        <f>p_bid_bond*s_bid*15/12*AY13*IF(AND(AY$3&gt;=c_cen_start-c_bid_m,MOD(AY$3-(c_cen_start-c_bid_m),15)&lt;c_bid_m),1,0)*AY6</f>
        <v/>
      </c>
      <c r="AZ34" s="14">
        <f>p_bid_bond*s_bid*15/12*AZ13*IF(AND(AZ$3&gt;=c_cen_start-c_bid_m,MOD(AZ$3-(c_cen_start-c_bid_m),15)&lt;c_bid_m),1,0)*AZ6</f>
        <v/>
      </c>
      <c r="BA34" s="14">
        <f>p_bid_bond*s_bid*15/12*BA13*IF(AND(BA$3&gt;=c_cen_start-c_bid_m,MOD(BA$3-(c_cen_start-c_bid_m),15)&lt;c_bid_m),1,0)*BA6</f>
        <v/>
      </c>
      <c r="BB34" s="14">
        <f>p_bid_bond*s_bid*15/12*BB13*IF(AND(BB$3&gt;=c_cen_start-c_bid_m,MOD(BB$3-(c_cen_start-c_bid_m),15)&lt;c_bid_m),1,0)*BB6</f>
        <v/>
      </c>
      <c r="BC34" s="14">
        <f>p_bid_bond*s_bid*15/12*BC13*IF(AND(BC$3&gt;=c_cen_start-c_bid_m,MOD(BC$3-(c_cen_start-c_bid_m),15)&lt;c_bid_m),1,0)*BC6</f>
        <v/>
      </c>
      <c r="BD34" s="14">
        <f>p_bid_bond*s_bid*15/12*BD13*IF(AND(BD$3&gt;=c_cen_start-c_bid_m,MOD(BD$3-(c_cen_start-c_bid_m),15)&lt;c_bid_m),1,0)*BD6</f>
        <v/>
      </c>
      <c r="BE34" s="14">
        <f>p_bid_bond*s_bid*15/12*BE13*IF(AND(BE$3&gt;=c_cen_start-c_bid_m,MOD(BE$3-(c_cen_start-c_bid_m),15)&lt;c_bid_m),1,0)*BE6</f>
        <v/>
      </c>
      <c r="BF34" s="14">
        <f>p_bid_bond*s_bid*15/12*BF13*IF(AND(BF$3&gt;=c_cen_start-c_bid_m,MOD(BF$3-(c_cen_start-c_bid_m),15)&lt;c_bid_m),1,0)*BF6</f>
        <v/>
      </c>
      <c r="BG34" s="14">
        <f>p_bid_bond*s_bid*15/12*BG13*IF(AND(BG$3&gt;=c_cen_start-c_bid_m,MOD(BG$3-(c_cen_start-c_bid_m),15)&lt;c_bid_m),1,0)*BG6</f>
        <v/>
      </c>
      <c r="BH34" s="14">
        <f>p_bid_bond*s_bid*15/12*BH13*IF(AND(BH$3&gt;=c_cen_start-c_bid_m,MOD(BH$3-(c_cen_start-c_bid_m),15)&lt;c_bid_m),1,0)*BH6</f>
        <v/>
      </c>
      <c r="BI34" s="14">
        <f>p_bid_bond*s_bid*15/12*BI13*IF(AND(BI$3&gt;=c_cen_start-c_bid_m,MOD(BI$3-(c_cen_start-c_bid_m),15)&lt;c_bid_m),1,0)*BI6</f>
        <v/>
      </c>
      <c r="BJ34" s="14">
        <f>p_bid_bond*s_bid*15/12*BJ13*IF(AND(BJ$3&gt;=c_cen_start-c_bid_m,MOD(BJ$3-(c_cen_start-c_bid_m),15)&lt;c_bid_m),1,0)*BJ6</f>
        <v/>
      </c>
      <c r="BK34" s="14">
        <f>p_bid_bond*s_bid*15/12*BK13*IF(AND(BK$3&gt;=c_cen_start-c_bid_m,MOD(BK$3-(c_cen_start-c_bid_m),15)&lt;c_bid_m),1,0)*BK6</f>
        <v/>
      </c>
    </row>
    <row r="35">
      <c r="A35" s="9" t="inlineStr">
        <is>
          <t>Colateral inmovilizado</t>
        </is>
      </c>
      <c r="C35" s="14" t="n">
        <v>0</v>
      </c>
      <c r="D35" s="14">
        <f>(D33+D34)*p_collat</f>
        <v/>
      </c>
      <c r="E35" s="14">
        <f>(E33+E34)*p_collat</f>
        <v/>
      </c>
      <c r="F35" s="14">
        <f>(F33+F34)*p_collat</f>
        <v/>
      </c>
      <c r="G35" s="14">
        <f>(G33+G34)*p_collat</f>
        <v/>
      </c>
      <c r="H35" s="14">
        <f>(H33+H34)*p_collat</f>
        <v/>
      </c>
      <c r="I35" s="14">
        <f>(I33+I34)*p_collat</f>
        <v/>
      </c>
      <c r="J35" s="14">
        <f>(J33+J34)*p_collat</f>
        <v/>
      </c>
      <c r="K35" s="14">
        <f>(K33+K34)*p_collat</f>
        <v/>
      </c>
      <c r="L35" s="14">
        <f>(L33+L34)*p_collat</f>
        <v/>
      </c>
      <c r="M35" s="14">
        <f>(M33+M34)*p_collat</f>
        <v/>
      </c>
      <c r="N35" s="14">
        <f>(N33+N34)*p_collat</f>
        <v/>
      </c>
      <c r="O35" s="14">
        <f>(O33+O34)*p_collat</f>
        <v/>
      </c>
      <c r="P35" s="14">
        <f>(P33+P34)*p_collat</f>
        <v/>
      </c>
      <c r="Q35" s="14">
        <f>(Q33+Q34)*p_collat</f>
        <v/>
      </c>
      <c r="R35" s="14">
        <f>(R33+R34)*p_collat</f>
        <v/>
      </c>
      <c r="S35" s="14">
        <f>(S33+S34)*p_collat</f>
        <v/>
      </c>
      <c r="T35" s="14">
        <f>(T33+T34)*p_collat</f>
        <v/>
      </c>
      <c r="U35" s="14">
        <f>(U33+U34)*p_collat</f>
        <v/>
      </c>
      <c r="V35" s="14">
        <f>(V33+V34)*p_collat</f>
        <v/>
      </c>
      <c r="W35" s="14">
        <f>(W33+W34)*p_collat</f>
        <v/>
      </c>
      <c r="X35" s="14">
        <f>(X33+X34)*p_collat</f>
        <v/>
      </c>
      <c r="Y35" s="14">
        <f>(Y33+Y34)*p_collat</f>
        <v/>
      </c>
      <c r="Z35" s="14">
        <f>(Z33+Z34)*p_collat</f>
        <v/>
      </c>
      <c r="AA35" s="14">
        <f>(AA33+AA34)*p_collat</f>
        <v/>
      </c>
      <c r="AB35" s="14">
        <f>(AB33+AB34)*p_collat</f>
        <v/>
      </c>
      <c r="AC35" s="14">
        <f>(AC33+AC34)*p_collat</f>
        <v/>
      </c>
      <c r="AD35" s="14">
        <f>(AD33+AD34)*p_collat</f>
        <v/>
      </c>
      <c r="AE35" s="14">
        <f>(AE33+AE34)*p_collat</f>
        <v/>
      </c>
      <c r="AF35" s="14">
        <f>(AF33+AF34)*p_collat</f>
        <v/>
      </c>
      <c r="AG35" s="14">
        <f>(AG33+AG34)*p_collat</f>
        <v/>
      </c>
      <c r="AH35" s="14">
        <f>(AH33+AH34)*p_collat</f>
        <v/>
      </c>
      <c r="AI35" s="14">
        <f>(AI33+AI34)*p_collat</f>
        <v/>
      </c>
      <c r="AJ35" s="14">
        <f>(AJ33+AJ34)*p_collat</f>
        <v/>
      </c>
      <c r="AK35" s="14">
        <f>(AK33+AK34)*p_collat</f>
        <v/>
      </c>
      <c r="AL35" s="14">
        <f>(AL33+AL34)*p_collat</f>
        <v/>
      </c>
      <c r="AM35" s="14">
        <f>(AM33+AM34)*p_collat</f>
        <v/>
      </c>
      <c r="AN35" s="14">
        <f>(AN33+AN34)*p_collat</f>
        <v/>
      </c>
      <c r="AO35" s="14">
        <f>(AO33+AO34)*p_collat</f>
        <v/>
      </c>
      <c r="AP35" s="14">
        <f>(AP33+AP34)*p_collat</f>
        <v/>
      </c>
      <c r="AQ35" s="14">
        <f>(AQ33+AQ34)*p_collat</f>
        <v/>
      </c>
      <c r="AR35" s="14">
        <f>(AR33+AR34)*p_collat</f>
        <v/>
      </c>
      <c r="AS35" s="14">
        <f>(AS33+AS34)*p_collat</f>
        <v/>
      </c>
      <c r="AT35" s="14">
        <f>(AT33+AT34)*p_collat</f>
        <v/>
      </c>
      <c r="AU35" s="14">
        <f>(AU33+AU34)*p_collat</f>
        <v/>
      </c>
      <c r="AV35" s="14">
        <f>(AV33+AV34)*p_collat</f>
        <v/>
      </c>
      <c r="AW35" s="14">
        <f>(AW33+AW34)*p_collat</f>
        <v/>
      </c>
      <c r="AX35" s="14">
        <f>(AX33+AX34)*p_collat</f>
        <v/>
      </c>
      <c r="AY35" s="14">
        <f>(AY33+AY34)*p_collat</f>
        <v/>
      </c>
      <c r="AZ35" s="14">
        <f>(AZ33+AZ34)*p_collat</f>
        <v/>
      </c>
      <c r="BA35" s="14">
        <f>(BA33+BA34)*p_collat</f>
        <v/>
      </c>
      <c r="BB35" s="14">
        <f>(BB33+BB34)*p_collat</f>
        <v/>
      </c>
      <c r="BC35" s="14">
        <f>(BC33+BC34)*p_collat</f>
        <v/>
      </c>
      <c r="BD35" s="14">
        <f>(BD33+BD34)*p_collat</f>
        <v/>
      </c>
      <c r="BE35" s="14">
        <f>(BE33+BE34)*p_collat</f>
        <v/>
      </c>
      <c r="BF35" s="14">
        <f>(BF33+BF34)*p_collat</f>
        <v/>
      </c>
      <c r="BG35" s="14">
        <f>(BG33+BG34)*p_collat</f>
        <v/>
      </c>
      <c r="BH35" s="14">
        <f>(BH33+BH34)*p_collat</f>
        <v/>
      </c>
      <c r="BI35" s="14">
        <f>(BI33+BI34)*p_collat</f>
        <v/>
      </c>
      <c r="BJ35" s="14">
        <f>(BJ33+BJ34)*p_collat</f>
        <v/>
      </c>
      <c r="BK35" s="14">
        <f>(BK33+BK34)*p_collat</f>
        <v/>
      </c>
    </row>
    <row r="36">
      <c r="A36" s="9" t="inlineStr">
        <is>
          <t>Cambio en colateral</t>
        </is>
      </c>
      <c r="D36" s="14">
        <f>D35-C35</f>
        <v/>
      </c>
      <c r="E36" s="14">
        <f>E35-D35</f>
        <v/>
      </c>
      <c r="F36" s="14">
        <f>F35-E35</f>
        <v/>
      </c>
      <c r="G36" s="14">
        <f>G35-F35</f>
        <v/>
      </c>
      <c r="H36" s="14">
        <f>H35-G35</f>
        <v/>
      </c>
      <c r="I36" s="14">
        <f>I35-H35</f>
        <v/>
      </c>
      <c r="J36" s="14">
        <f>J35-I35</f>
        <v/>
      </c>
      <c r="K36" s="14">
        <f>K35-J35</f>
        <v/>
      </c>
      <c r="L36" s="14">
        <f>L35-K35</f>
        <v/>
      </c>
      <c r="M36" s="14">
        <f>M35-L35</f>
        <v/>
      </c>
      <c r="N36" s="14">
        <f>N35-M35</f>
        <v/>
      </c>
      <c r="O36" s="14">
        <f>O35-N35</f>
        <v/>
      </c>
      <c r="P36" s="14">
        <f>P35-O35</f>
        <v/>
      </c>
      <c r="Q36" s="14">
        <f>Q35-P35</f>
        <v/>
      </c>
      <c r="R36" s="14">
        <f>R35-Q35</f>
        <v/>
      </c>
      <c r="S36" s="14">
        <f>S35-R35</f>
        <v/>
      </c>
      <c r="T36" s="14">
        <f>T35-S35</f>
        <v/>
      </c>
      <c r="U36" s="14">
        <f>U35-T35</f>
        <v/>
      </c>
      <c r="V36" s="14">
        <f>V35-U35</f>
        <v/>
      </c>
      <c r="W36" s="14">
        <f>W35-V35</f>
        <v/>
      </c>
      <c r="X36" s="14">
        <f>X35-W35</f>
        <v/>
      </c>
      <c r="Y36" s="14">
        <f>Y35-X35</f>
        <v/>
      </c>
      <c r="Z36" s="14">
        <f>Z35-Y35</f>
        <v/>
      </c>
      <c r="AA36" s="14">
        <f>AA35-Z35</f>
        <v/>
      </c>
      <c r="AB36" s="14">
        <f>AB35-AA35</f>
        <v/>
      </c>
      <c r="AC36" s="14">
        <f>AC35-AB35</f>
        <v/>
      </c>
      <c r="AD36" s="14">
        <f>AD35-AC35</f>
        <v/>
      </c>
      <c r="AE36" s="14">
        <f>AE35-AD35</f>
        <v/>
      </c>
      <c r="AF36" s="14">
        <f>AF35-AE35</f>
        <v/>
      </c>
      <c r="AG36" s="14">
        <f>AG35-AF35</f>
        <v/>
      </c>
      <c r="AH36" s="14">
        <f>AH35-AG35</f>
        <v/>
      </c>
      <c r="AI36" s="14">
        <f>AI35-AH35</f>
        <v/>
      </c>
      <c r="AJ36" s="14">
        <f>AJ35-AI35</f>
        <v/>
      </c>
      <c r="AK36" s="14">
        <f>AK35-AJ35</f>
        <v/>
      </c>
      <c r="AL36" s="14">
        <f>AL35-AK35</f>
        <v/>
      </c>
      <c r="AM36" s="14">
        <f>AM35-AL35</f>
        <v/>
      </c>
      <c r="AN36" s="14">
        <f>AN35-AM35</f>
        <v/>
      </c>
      <c r="AO36" s="14">
        <f>AO35-AN35</f>
        <v/>
      </c>
      <c r="AP36" s="14">
        <f>AP35-AO35</f>
        <v/>
      </c>
      <c r="AQ36" s="14">
        <f>AQ35-AP35</f>
        <v/>
      </c>
      <c r="AR36" s="14">
        <f>AR35-AQ35</f>
        <v/>
      </c>
      <c r="AS36" s="14">
        <f>AS35-AR35</f>
        <v/>
      </c>
      <c r="AT36" s="14">
        <f>AT35-AS35</f>
        <v/>
      </c>
      <c r="AU36" s="14">
        <f>AU35-AT35</f>
        <v/>
      </c>
      <c r="AV36" s="14">
        <f>AV35-AU35</f>
        <v/>
      </c>
      <c r="AW36" s="14">
        <f>AW35-AV35</f>
        <v/>
      </c>
      <c r="AX36" s="14">
        <f>AX35-AW35</f>
        <v/>
      </c>
      <c r="AY36" s="14">
        <f>AY35-AX35</f>
        <v/>
      </c>
      <c r="AZ36" s="14">
        <f>AZ35-AY35</f>
        <v/>
      </c>
      <c r="BA36" s="14">
        <f>BA35-AZ35</f>
        <v/>
      </c>
      <c r="BB36" s="14">
        <f>BB35-BA35</f>
        <v/>
      </c>
      <c r="BC36" s="14">
        <f>BC35-BB35</f>
        <v/>
      </c>
      <c r="BD36" s="14">
        <f>BD35-BC35</f>
        <v/>
      </c>
      <c r="BE36" s="14">
        <f>BE35-BD35</f>
        <v/>
      </c>
      <c r="BF36" s="14">
        <f>BF35-BE35</f>
        <v/>
      </c>
      <c r="BG36" s="14">
        <f>BG35-BF35</f>
        <v/>
      </c>
      <c r="BH36" s="14">
        <f>BH35-BG35</f>
        <v/>
      </c>
      <c r="BI36" s="14">
        <f>BI35-BH35</f>
        <v/>
      </c>
      <c r="BJ36" s="14">
        <f>BJ35-BI35</f>
        <v/>
      </c>
      <c r="BK36" s="14">
        <f>BK35-BJ35</f>
        <v/>
      </c>
    </row>
    <row r="37">
      <c r="A37" s="9" t="inlineStr">
        <is>
          <t>Prima de fianzas</t>
        </is>
      </c>
      <c r="D37" s="14">
        <f>(D33+D34)*p_bond_prem/12</f>
        <v/>
      </c>
      <c r="E37" s="14">
        <f>(E33+E34)*p_bond_prem/12</f>
        <v/>
      </c>
      <c r="F37" s="14">
        <f>(F33+F34)*p_bond_prem/12</f>
        <v/>
      </c>
      <c r="G37" s="14">
        <f>(G33+G34)*p_bond_prem/12</f>
        <v/>
      </c>
      <c r="H37" s="14">
        <f>(H33+H34)*p_bond_prem/12</f>
        <v/>
      </c>
      <c r="I37" s="14">
        <f>(I33+I34)*p_bond_prem/12</f>
        <v/>
      </c>
      <c r="J37" s="14">
        <f>(J33+J34)*p_bond_prem/12</f>
        <v/>
      </c>
      <c r="K37" s="14">
        <f>(K33+K34)*p_bond_prem/12</f>
        <v/>
      </c>
      <c r="L37" s="14">
        <f>(L33+L34)*p_bond_prem/12</f>
        <v/>
      </c>
      <c r="M37" s="14">
        <f>(M33+M34)*p_bond_prem/12</f>
        <v/>
      </c>
      <c r="N37" s="14">
        <f>(N33+N34)*p_bond_prem/12</f>
        <v/>
      </c>
      <c r="O37" s="14">
        <f>(O33+O34)*p_bond_prem/12</f>
        <v/>
      </c>
      <c r="P37" s="14">
        <f>(P33+P34)*p_bond_prem/12</f>
        <v/>
      </c>
      <c r="Q37" s="14">
        <f>(Q33+Q34)*p_bond_prem/12</f>
        <v/>
      </c>
      <c r="R37" s="14">
        <f>(R33+R34)*p_bond_prem/12</f>
        <v/>
      </c>
      <c r="S37" s="14">
        <f>(S33+S34)*p_bond_prem/12</f>
        <v/>
      </c>
      <c r="T37" s="14">
        <f>(T33+T34)*p_bond_prem/12</f>
        <v/>
      </c>
      <c r="U37" s="14">
        <f>(U33+U34)*p_bond_prem/12</f>
        <v/>
      </c>
      <c r="V37" s="14">
        <f>(V33+V34)*p_bond_prem/12</f>
        <v/>
      </c>
      <c r="W37" s="14">
        <f>(W33+W34)*p_bond_prem/12</f>
        <v/>
      </c>
      <c r="X37" s="14">
        <f>(X33+X34)*p_bond_prem/12</f>
        <v/>
      </c>
      <c r="Y37" s="14">
        <f>(Y33+Y34)*p_bond_prem/12</f>
        <v/>
      </c>
      <c r="Z37" s="14">
        <f>(Z33+Z34)*p_bond_prem/12</f>
        <v/>
      </c>
      <c r="AA37" s="14">
        <f>(AA33+AA34)*p_bond_prem/12</f>
        <v/>
      </c>
      <c r="AB37" s="14">
        <f>(AB33+AB34)*p_bond_prem/12</f>
        <v/>
      </c>
      <c r="AC37" s="14">
        <f>(AC33+AC34)*p_bond_prem/12</f>
        <v/>
      </c>
      <c r="AD37" s="14">
        <f>(AD33+AD34)*p_bond_prem/12</f>
        <v/>
      </c>
      <c r="AE37" s="14">
        <f>(AE33+AE34)*p_bond_prem/12</f>
        <v/>
      </c>
      <c r="AF37" s="14">
        <f>(AF33+AF34)*p_bond_prem/12</f>
        <v/>
      </c>
      <c r="AG37" s="14">
        <f>(AG33+AG34)*p_bond_prem/12</f>
        <v/>
      </c>
      <c r="AH37" s="14">
        <f>(AH33+AH34)*p_bond_prem/12</f>
        <v/>
      </c>
      <c r="AI37" s="14">
        <f>(AI33+AI34)*p_bond_prem/12</f>
        <v/>
      </c>
      <c r="AJ37" s="14">
        <f>(AJ33+AJ34)*p_bond_prem/12</f>
        <v/>
      </c>
      <c r="AK37" s="14">
        <f>(AK33+AK34)*p_bond_prem/12</f>
        <v/>
      </c>
      <c r="AL37" s="14">
        <f>(AL33+AL34)*p_bond_prem/12</f>
        <v/>
      </c>
      <c r="AM37" s="14">
        <f>(AM33+AM34)*p_bond_prem/12</f>
        <v/>
      </c>
      <c r="AN37" s="14">
        <f>(AN33+AN34)*p_bond_prem/12</f>
        <v/>
      </c>
      <c r="AO37" s="14">
        <f>(AO33+AO34)*p_bond_prem/12</f>
        <v/>
      </c>
      <c r="AP37" s="14">
        <f>(AP33+AP34)*p_bond_prem/12</f>
        <v/>
      </c>
      <c r="AQ37" s="14">
        <f>(AQ33+AQ34)*p_bond_prem/12</f>
        <v/>
      </c>
      <c r="AR37" s="14">
        <f>(AR33+AR34)*p_bond_prem/12</f>
        <v/>
      </c>
      <c r="AS37" s="14">
        <f>(AS33+AS34)*p_bond_prem/12</f>
        <v/>
      </c>
      <c r="AT37" s="14">
        <f>(AT33+AT34)*p_bond_prem/12</f>
        <v/>
      </c>
      <c r="AU37" s="14">
        <f>(AU33+AU34)*p_bond_prem/12</f>
        <v/>
      </c>
      <c r="AV37" s="14">
        <f>(AV33+AV34)*p_bond_prem/12</f>
        <v/>
      </c>
      <c r="AW37" s="14">
        <f>(AW33+AW34)*p_bond_prem/12</f>
        <v/>
      </c>
      <c r="AX37" s="14">
        <f>(AX33+AX34)*p_bond_prem/12</f>
        <v/>
      </c>
      <c r="AY37" s="14">
        <f>(AY33+AY34)*p_bond_prem/12</f>
        <v/>
      </c>
      <c r="AZ37" s="14">
        <f>(AZ33+AZ34)*p_bond_prem/12</f>
        <v/>
      </c>
      <c r="BA37" s="14">
        <f>(BA33+BA34)*p_bond_prem/12</f>
        <v/>
      </c>
      <c r="BB37" s="14">
        <f>(BB33+BB34)*p_bond_prem/12</f>
        <v/>
      </c>
      <c r="BC37" s="14">
        <f>(BC33+BC34)*p_bond_prem/12</f>
        <v/>
      </c>
      <c r="BD37" s="14">
        <f>(BD33+BD34)*p_bond_prem/12</f>
        <v/>
      </c>
      <c r="BE37" s="14">
        <f>(BE33+BE34)*p_bond_prem/12</f>
        <v/>
      </c>
      <c r="BF37" s="14">
        <f>(BF33+BF34)*p_bond_prem/12</f>
        <v/>
      </c>
      <c r="BG37" s="14">
        <f>(BG33+BG34)*p_bond_prem/12</f>
        <v/>
      </c>
      <c r="BH37" s="14">
        <f>(BH33+BH34)*p_bond_prem/12</f>
        <v/>
      </c>
      <c r="BI37" s="14">
        <f>(BI33+BI34)*p_bond_prem/12</f>
        <v/>
      </c>
      <c r="BJ37" s="14">
        <f>(BJ33+BJ34)*p_bond_prem/12</f>
        <v/>
      </c>
      <c r="BK37" s="14">
        <f>(BK33+BK34)*p_bond_prem/12</f>
        <v/>
      </c>
    </row>
    <row r="38">
      <c r="A38" s="9" t="inlineStr">
        <is>
          <t>Costo de factoring</t>
        </is>
      </c>
      <c r="D38" s="14">
        <f>p_fact_share*D17*(1-p_baddebt)*p_fact_cost*c_dso_m</f>
        <v/>
      </c>
      <c r="E38" s="14">
        <f>p_fact_share*E17*(1-p_baddebt)*p_fact_cost*c_dso_m</f>
        <v/>
      </c>
      <c r="F38" s="14">
        <f>p_fact_share*F17*(1-p_baddebt)*p_fact_cost*c_dso_m</f>
        <v/>
      </c>
      <c r="G38" s="14">
        <f>p_fact_share*G17*(1-p_baddebt)*p_fact_cost*c_dso_m</f>
        <v/>
      </c>
      <c r="H38" s="14">
        <f>p_fact_share*H17*(1-p_baddebt)*p_fact_cost*c_dso_m</f>
        <v/>
      </c>
      <c r="I38" s="14">
        <f>p_fact_share*I17*(1-p_baddebt)*p_fact_cost*c_dso_m</f>
        <v/>
      </c>
      <c r="J38" s="14">
        <f>p_fact_share*J17*(1-p_baddebt)*p_fact_cost*c_dso_m</f>
        <v/>
      </c>
      <c r="K38" s="14">
        <f>p_fact_share*K17*(1-p_baddebt)*p_fact_cost*c_dso_m</f>
        <v/>
      </c>
      <c r="L38" s="14">
        <f>p_fact_share*L17*(1-p_baddebt)*p_fact_cost*c_dso_m</f>
        <v/>
      </c>
      <c r="M38" s="14">
        <f>p_fact_share*M17*(1-p_baddebt)*p_fact_cost*c_dso_m</f>
        <v/>
      </c>
      <c r="N38" s="14">
        <f>p_fact_share*N17*(1-p_baddebt)*p_fact_cost*c_dso_m</f>
        <v/>
      </c>
      <c r="O38" s="14">
        <f>p_fact_share*O17*(1-p_baddebt)*p_fact_cost*c_dso_m</f>
        <v/>
      </c>
      <c r="P38" s="14">
        <f>p_fact_share*P17*(1-p_baddebt)*p_fact_cost*c_dso_m</f>
        <v/>
      </c>
      <c r="Q38" s="14">
        <f>p_fact_share*Q17*(1-p_baddebt)*p_fact_cost*c_dso_m</f>
        <v/>
      </c>
      <c r="R38" s="14">
        <f>p_fact_share*R17*(1-p_baddebt)*p_fact_cost*c_dso_m</f>
        <v/>
      </c>
      <c r="S38" s="14">
        <f>p_fact_share*S17*(1-p_baddebt)*p_fact_cost*c_dso_m</f>
        <v/>
      </c>
      <c r="T38" s="14">
        <f>p_fact_share*T17*(1-p_baddebt)*p_fact_cost*c_dso_m</f>
        <v/>
      </c>
      <c r="U38" s="14">
        <f>p_fact_share*U17*(1-p_baddebt)*p_fact_cost*c_dso_m</f>
        <v/>
      </c>
      <c r="V38" s="14">
        <f>p_fact_share*V17*(1-p_baddebt)*p_fact_cost*c_dso_m</f>
        <v/>
      </c>
      <c r="W38" s="14">
        <f>p_fact_share*W17*(1-p_baddebt)*p_fact_cost*c_dso_m</f>
        <v/>
      </c>
      <c r="X38" s="14">
        <f>p_fact_share*X17*(1-p_baddebt)*p_fact_cost*c_dso_m</f>
        <v/>
      </c>
      <c r="Y38" s="14">
        <f>p_fact_share*Y17*(1-p_baddebt)*p_fact_cost*c_dso_m</f>
        <v/>
      </c>
      <c r="Z38" s="14">
        <f>p_fact_share*Z17*(1-p_baddebt)*p_fact_cost*c_dso_m</f>
        <v/>
      </c>
      <c r="AA38" s="14">
        <f>p_fact_share*AA17*(1-p_baddebt)*p_fact_cost*c_dso_m</f>
        <v/>
      </c>
      <c r="AB38" s="14">
        <f>p_fact_share*AB17*(1-p_baddebt)*p_fact_cost*c_dso_m</f>
        <v/>
      </c>
      <c r="AC38" s="14">
        <f>p_fact_share*AC17*(1-p_baddebt)*p_fact_cost*c_dso_m</f>
        <v/>
      </c>
      <c r="AD38" s="14">
        <f>p_fact_share*AD17*(1-p_baddebt)*p_fact_cost*c_dso_m</f>
        <v/>
      </c>
      <c r="AE38" s="14">
        <f>p_fact_share*AE17*(1-p_baddebt)*p_fact_cost*c_dso_m</f>
        <v/>
      </c>
      <c r="AF38" s="14">
        <f>p_fact_share*AF17*(1-p_baddebt)*p_fact_cost*c_dso_m</f>
        <v/>
      </c>
      <c r="AG38" s="14">
        <f>p_fact_share*AG17*(1-p_baddebt)*p_fact_cost*c_dso_m</f>
        <v/>
      </c>
      <c r="AH38" s="14">
        <f>p_fact_share*AH17*(1-p_baddebt)*p_fact_cost*c_dso_m</f>
        <v/>
      </c>
      <c r="AI38" s="14">
        <f>p_fact_share*AI17*(1-p_baddebt)*p_fact_cost*c_dso_m</f>
        <v/>
      </c>
      <c r="AJ38" s="14">
        <f>p_fact_share*AJ17*(1-p_baddebt)*p_fact_cost*c_dso_m</f>
        <v/>
      </c>
      <c r="AK38" s="14">
        <f>p_fact_share*AK17*(1-p_baddebt)*p_fact_cost*c_dso_m</f>
        <v/>
      </c>
      <c r="AL38" s="14">
        <f>p_fact_share*AL17*(1-p_baddebt)*p_fact_cost*c_dso_m</f>
        <v/>
      </c>
      <c r="AM38" s="14">
        <f>p_fact_share*AM17*(1-p_baddebt)*p_fact_cost*c_dso_m</f>
        <v/>
      </c>
      <c r="AN38" s="14">
        <f>p_fact_share*AN17*(1-p_baddebt)*p_fact_cost*c_dso_m</f>
        <v/>
      </c>
      <c r="AO38" s="14">
        <f>p_fact_share*AO17*(1-p_baddebt)*p_fact_cost*c_dso_m</f>
        <v/>
      </c>
      <c r="AP38" s="14">
        <f>p_fact_share*AP17*(1-p_baddebt)*p_fact_cost*c_dso_m</f>
        <v/>
      </c>
      <c r="AQ38" s="14">
        <f>p_fact_share*AQ17*(1-p_baddebt)*p_fact_cost*c_dso_m</f>
        <v/>
      </c>
      <c r="AR38" s="14">
        <f>p_fact_share*AR17*(1-p_baddebt)*p_fact_cost*c_dso_m</f>
        <v/>
      </c>
      <c r="AS38" s="14">
        <f>p_fact_share*AS17*(1-p_baddebt)*p_fact_cost*c_dso_m</f>
        <v/>
      </c>
      <c r="AT38" s="14">
        <f>p_fact_share*AT17*(1-p_baddebt)*p_fact_cost*c_dso_m</f>
        <v/>
      </c>
      <c r="AU38" s="14">
        <f>p_fact_share*AU17*(1-p_baddebt)*p_fact_cost*c_dso_m</f>
        <v/>
      </c>
      <c r="AV38" s="14">
        <f>p_fact_share*AV17*(1-p_baddebt)*p_fact_cost*c_dso_m</f>
        <v/>
      </c>
      <c r="AW38" s="14">
        <f>p_fact_share*AW17*(1-p_baddebt)*p_fact_cost*c_dso_m</f>
        <v/>
      </c>
      <c r="AX38" s="14">
        <f>p_fact_share*AX17*(1-p_baddebt)*p_fact_cost*c_dso_m</f>
        <v/>
      </c>
      <c r="AY38" s="14">
        <f>p_fact_share*AY17*(1-p_baddebt)*p_fact_cost*c_dso_m</f>
        <v/>
      </c>
      <c r="AZ38" s="14">
        <f>p_fact_share*AZ17*(1-p_baddebt)*p_fact_cost*c_dso_m</f>
        <v/>
      </c>
      <c r="BA38" s="14">
        <f>p_fact_share*BA17*(1-p_baddebt)*p_fact_cost*c_dso_m</f>
        <v/>
      </c>
      <c r="BB38" s="14">
        <f>p_fact_share*BB17*(1-p_baddebt)*p_fact_cost*c_dso_m</f>
        <v/>
      </c>
      <c r="BC38" s="14">
        <f>p_fact_share*BC17*(1-p_baddebt)*p_fact_cost*c_dso_m</f>
        <v/>
      </c>
      <c r="BD38" s="14">
        <f>p_fact_share*BD17*(1-p_baddebt)*p_fact_cost*c_dso_m</f>
        <v/>
      </c>
      <c r="BE38" s="14">
        <f>p_fact_share*BE17*(1-p_baddebt)*p_fact_cost*c_dso_m</f>
        <v/>
      </c>
      <c r="BF38" s="14">
        <f>p_fact_share*BF17*(1-p_baddebt)*p_fact_cost*c_dso_m</f>
        <v/>
      </c>
      <c r="BG38" s="14">
        <f>p_fact_share*BG17*(1-p_baddebt)*p_fact_cost*c_dso_m</f>
        <v/>
      </c>
      <c r="BH38" s="14">
        <f>p_fact_share*BH17*(1-p_baddebt)*p_fact_cost*c_dso_m</f>
        <v/>
      </c>
      <c r="BI38" s="14">
        <f>p_fact_share*BI17*(1-p_baddebt)*p_fact_cost*c_dso_m</f>
        <v/>
      </c>
      <c r="BJ38" s="14">
        <f>p_fact_share*BJ17*(1-p_baddebt)*p_fact_cost*c_dso_m</f>
        <v/>
      </c>
      <c r="BK38" s="14">
        <f>p_fact_share*BK17*(1-p_baddebt)*p_fact_cost*c_dso_m</f>
        <v/>
      </c>
    </row>
    <row r="39">
      <c r="A39" s="9" t="inlineStr">
        <is>
          <t>Pérdida de inventario por cierre</t>
        </is>
      </c>
      <c r="D39" s="14">
        <f>IF(D$3=ROUND(p_stop_det,0)+1,INDEX($D$21:$BK$21,1,ROUND(p_stop_det,0))*(1-p_inv_liq),0)</f>
        <v/>
      </c>
      <c r="E39" s="14">
        <f>IF(E$3=ROUND(p_stop_det,0)+1,INDEX($D$21:$BK$21,1,ROUND(p_stop_det,0))*(1-p_inv_liq),0)</f>
        <v/>
      </c>
      <c r="F39" s="14">
        <f>IF(F$3=ROUND(p_stop_det,0)+1,INDEX($D$21:$BK$21,1,ROUND(p_stop_det,0))*(1-p_inv_liq),0)</f>
        <v/>
      </c>
      <c r="G39" s="14">
        <f>IF(G$3=ROUND(p_stop_det,0)+1,INDEX($D$21:$BK$21,1,ROUND(p_stop_det,0))*(1-p_inv_liq),0)</f>
        <v/>
      </c>
      <c r="H39" s="14">
        <f>IF(H$3=ROUND(p_stop_det,0)+1,INDEX($D$21:$BK$21,1,ROUND(p_stop_det,0))*(1-p_inv_liq),0)</f>
        <v/>
      </c>
      <c r="I39" s="14">
        <f>IF(I$3=ROUND(p_stop_det,0)+1,INDEX($D$21:$BK$21,1,ROUND(p_stop_det,0))*(1-p_inv_liq),0)</f>
        <v/>
      </c>
      <c r="J39" s="14">
        <f>IF(J$3=ROUND(p_stop_det,0)+1,INDEX($D$21:$BK$21,1,ROUND(p_stop_det,0))*(1-p_inv_liq),0)</f>
        <v/>
      </c>
      <c r="K39" s="14">
        <f>IF(K$3=ROUND(p_stop_det,0)+1,INDEX($D$21:$BK$21,1,ROUND(p_stop_det,0))*(1-p_inv_liq),0)</f>
        <v/>
      </c>
      <c r="L39" s="14">
        <f>IF(L$3=ROUND(p_stop_det,0)+1,INDEX($D$21:$BK$21,1,ROUND(p_stop_det,0))*(1-p_inv_liq),0)</f>
        <v/>
      </c>
      <c r="M39" s="14">
        <f>IF(M$3=ROUND(p_stop_det,0)+1,INDEX($D$21:$BK$21,1,ROUND(p_stop_det,0))*(1-p_inv_liq),0)</f>
        <v/>
      </c>
      <c r="N39" s="14">
        <f>IF(N$3=ROUND(p_stop_det,0)+1,INDEX($D$21:$BK$21,1,ROUND(p_stop_det,0))*(1-p_inv_liq),0)</f>
        <v/>
      </c>
      <c r="O39" s="14">
        <f>IF(O$3=ROUND(p_stop_det,0)+1,INDEX($D$21:$BK$21,1,ROUND(p_stop_det,0))*(1-p_inv_liq),0)</f>
        <v/>
      </c>
      <c r="P39" s="14">
        <f>IF(P$3=ROUND(p_stop_det,0)+1,INDEX($D$21:$BK$21,1,ROUND(p_stop_det,0))*(1-p_inv_liq),0)</f>
        <v/>
      </c>
      <c r="Q39" s="14">
        <f>IF(Q$3=ROUND(p_stop_det,0)+1,INDEX($D$21:$BK$21,1,ROUND(p_stop_det,0))*(1-p_inv_liq),0)</f>
        <v/>
      </c>
      <c r="R39" s="14">
        <f>IF(R$3=ROUND(p_stop_det,0)+1,INDEX($D$21:$BK$21,1,ROUND(p_stop_det,0))*(1-p_inv_liq),0)</f>
        <v/>
      </c>
      <c r="S39" s="14">
        <f>IF(S$3=ROUND(p_stop_det,0)+1,INDEX($D$21:$BK$21,1,ROUND(p_stop_det,0))*(1-p_inv_liq),0)</f>
        <v/>
      </c>
      <c r="T39" s="14">
        <f>IF(T$3=ROUND(p_stop_det,0)+1,INDEX($D$21:$BK$21,1,ROUND(p_stop_det,0))*(1-p_inv_liq),0)</f>
        <v/>
      </c>
      <c r="U39" s="14">
        <f>IF(U$3=ROUND(p_stop_det,0)+1,INDEX($D$21:$BK$21,1,ROUND(p_stop_det,0))*(1-p_inv_liq),0)</f>
        <v/>
      </c>
      <c r="V39" s="14">
        <f>IF(V$3=ROUND(p_stop_det,0)+1,INDEX($D$21:$BK$21,1,ROUND(p_stop_det,0))*(1-p_inv_liq),0)</f>
        <v/>
      </c>
      <c r="W39" s="14">
        <f>IF(W$3=ROUND(p_stop_det,0)+1,INDEX($D$21:$BK$21,1,ROUND(p_stop_det,0))*(1-p_inv_liq),0)</f>
        <v/>
      </c>
      <c r="X39" s="14">
        <f>IF(X$3=ROUND(p_stop_det,0)+1,INDEX($D$21:$BK$21,1,ROUND(p_stop_det,0))*(1-p_inv_liq),0)</f>
        <v/>
      </c>
      <c r="Y39" s="14">
        <f>IF(Y$3=ROUND(p_stop_det,0)+1,INDEX($D$21:$BK$21,1,ROUND(p_stop_det,0))*(1-p_inv_liq),0)</f>
        <v/>
      </c>
      <c r="Z39" s="14">
        <f>IF(Z$3=ROUND(p_stop_det,0)+1,INDEX($D$21:$BK$21,1,ROUND(p_stop_det,0))*(1-p_inv_liq),0)</f>
        <v/>
      </c>
      <c r="AA39" s="14">
        <f>IF(AA$3=ROUND(p_stop_det,0)+1,INDEX($D$21:$BK$21,1,ROUND(p_stop_det,0))*(1-p_inv_liq),0)</f>
        <v/>
      </c>
      <c r="AB39" s="14">
        <f>IF(AB$3=ROUND(p_stop_det,0)+1,INDEX($D$21:$BK$21,1,ROUND(p_stop_det,0))*(1-p_inv_liq),0)</f>
        <v/>
      </c>
      <c r="AC39" s="14">
        <f>IF(AC$3=ROUND(p_stop_det,0)+1,INDEX($D$21:$BK$21,1,ROUND(p_stop_det,0))*(1-p_inv_liq),0)</f>
        <v/>
      </c>
      <c r="AD39" s="14">
        <f>IF(AD$3=ROUND(p_stop_det,0)+1,INDEX($D$21:$BK$21,1,ROUND(p_stop_det,0))*(1-p_inv_liq),0)</f>
        <v/>
      </c>
      <c r="AE39" s="14">
        <f>IF(AE$3=ROUND(p_stop_det,0)+1,INDEX($D$21:$BK$21,1,ROUND(p_stop_det,0))*(1-p_inv_liq),0)</f>
        <v/>
      </c>
      <c r="AF39" s="14">
        <f>IF(AF$3=ROUND(p_stop_det,0)+1,INDEX($D$21:$BK$21,1,ROUND(p_stop_det,0))*(1-p_inv_liq),0)</f>
        <v/>
      </c>
      <c r="AG39" s="14">
        <f>IF(AG$3=ROUND(p_stop_det,0)+1,INDEX($D$21:$BK$21,1,ROUND(p_stop_det,0))*(1-p_inv_liq),0)</f>
        <v/>
      </c>
      <c r="AH39" s="14">
        <f>IF(AH$3=ROUND(p_stop_det,0)+1,INDEX($D$21:$BK$21,1,ROUND(p_stop_det,0))*(1-p_inv_liq),0)</f>
        <v/>
      </c>
      <c r="AI39" s="14">
        <f>IF(AI$3=ROUND(p_stop_det,0)+1,INDEX($D$21:$BK$21,1,ROUND(p_stop_det,0))*(1-p_inv_liq),0)</f>
        <v/>
      </c>
      <c r="AJ39" s="14">
        <f>IF(AJ$3=ROUND(p_stop_det,0)+1,INDEX($D$21:$BK$21,1,ROUND(p_stop_det,0))*(1-p_inv_liq),0)</f>
        <v/>
      </c>
      <c r="AK39" s="14">
        <f>IF(AK$3=ROUND(p_stop_det,0)+1,INDEX($D$21:$BK$21,1,ROUND(p_stop_det,0))*(1-p_inv_liq),0)</f>
        <v/>
      </c>
      <c r="AL39" s="14">
        <f>IF(AL$3=ROUND(p_stop_det,0)+1,INDEX($D$21:$BK$21,1,ROUND(p_stop_det,0))*(1-p_inv_liq),0)</f>
        <v/>
      </c>
      <c r="AM39" s="14">
        <f>IF(AM$3=ROUND(p_stop_det,0)+1,INDEX($D$21:$BK$21,1,ROUND(p_stop_det,0))*(1-p_inv_liq),0)</f>
        <v/>
      </c>
      <c r="AN39" s="14">
        <f>IF(AN$3=ROUND(p_stop_det,0)+1,INDEX($D$21:$BK$21,1,ROUND(p_stop_det,0))*(1-p_inv_liq),0)</f>
        <v/>
      </c>
      <c r="AO39" s="14">
        <f>IF(AO$3=ROUND(p_stop_det,0)+1,INDEX($D$21:$BK$21,1,ROUND(p_stop_det,0))*(1-p_inv_liq),0)</f>
        <v/>
      </c>
      <c r="AP39" s="14">
        <f>IF(AP$3=ROUND(p_stop_det,0)+1,INDEX($D$21:$BK$21,1,ROUND(p_stop_det,0))*(1-p_inv_liq),0)</f>
        <v/>
      </c>
      <c r="AQ39" s="14">
        <f>IF(AQ$3=ROUND(p_stop_det,0)+1,INDEX($D$21:$BK$21,1,ROUND(p_stop_det,0))*(1-p_inv_liq),0)</f>
        <v/>
      </c>
      <c r="AR39" s="14">
        <f>IF(AR$3=ROUND(p_stop_det,0)+1,INDEX($D$21:$BK$21,1,ROUND(p_stop_det,0))*(1-p_inv_liq),0)</f>
        <v/>
      </c>
      <c r="AS39" s="14">
        <f>IF(AS$3=ROUND(p_stop_det,0)+1,INDEX($D$21:$BK$21,1,ROUND(p_stop_det,0))*(1-p_inv_liq),0)</f>
        <v/>
      </c>
      <c r="AT39" s="14">
        <f>IF(AT$3=ROUND(p_stop_det,0)+1,INDEX($D$21:$BK$21,1,ROUND(p_stop_det,0))*(1-p_inv_liq),0)</f>
        <v/>
      </c>
      <c r="AU39" s="14">
        <f>IF(AU$3=ROUND(p_stop_det,0)+1,INDEX($D$21:$BK$21,1,ROUND(p_stop_det,0))*(1-p_inv_liq),0)</f>
        <v/>
      </c>
      <c r="AV39" s="14">
        <f>IF(AV$3=ROUND(p_stop_det,0)+1,INDEX($D$21:$BK$21,1,ROUND(p_stop_det,0))*(1-p_inv_liq),0)</f>
        <v/>
      </c>
      <c r="AW39" s="14">
        <f>IF(AW$3=ROUND(p_stop_det,0)+1,INDEX($D$21:$BK$21,1,ROUND(p_stop_det,0))*(1-p_inv_liq),0)</f>
        <v/>
      </c>
      <c r="AX39" s="14">
        <f>IF(AX$3=ROUND(p_stop_det,0)+1,INDEX($D$21:$BK$21,1,ROUND(p_stop_det,0))*(1-p_inv_liq),0)</f>
        <v/>
      </c>
      <c r="AY39" s="14">
        <f>IF(AY$3=ROUND(p_stop_det,0)+1,INDEX($D$21:$BK$21,1,ROUND(p_stop_det,0))*(1-p_inv_liq),0)</f>
        <v/>
      </c>
      <c r="AZ39" s="14">
        <f>IF(AZ$3=ROUND(p_stop_det,0)+1,INDEX($D$21:$BK$21,1,ROUND(p_stop_det,0))*(1-p_inv_liq),0)</f>
        <v/>
      </c>
      <c r="BA39" s="14">
        <f>IF(BA$3=ROUND(p_stop_det,0)+1,INDEX($D$21:$BK$21,1,ROUND(p_stop_det,0))*(1-p_inv_liq),0)</f>
        <v/>
      </c>
      <c r="BB39" s="14">
        <f>IF(BB$3=ROUND(p_stop_det,0)+1,INDEX($D$21:$BK$21,1,ROUND(p_stop_det,0))*(1-p_inv_liq),0)</f>
        <v/>
      </c>
      <c r="BC39" s="14">
        <f>IF(BC$3=ROUND(p_stop_det,0)+1,INDEX($D$21:$BK$21,1,ROUND(p_stop_det,0))*(1-p_inv_liq),0)</f>
        <v/>
      </c>
      <c r="BD39" s="14">
        <f>IF(BD$3=ROUND(p_stop_det,0)+1,INDEX($D$21:$BK$21,1,ROUND(p_stop_det,0))*(1-p_inv_liq),0)</f>
        <v/>
      </c>
      <c r="BE39" s="14">
        <f>IF(BE$3=ROUND(p_stop_det,0)+1,INDEX($D$21:$BK$21,1,ROUND(p_stop_det,0))*(1-p_inv_liq),0)</f>
        <v/>
      </c>
      <c r="BF39" s="14">
        <f>IF(BF$3=ROUND(p_stop_det,0)+1,INDEX($D$21:$BK$21,1,ROUND(p_stop_det,0))*(1-p_inv_liq),0)</f>
        <v/>
      </c>
      <c r="BG39" s="14">
        <f>IF(BG$3=ROUND(p_stop_det,0)+1,INDEX($D$21:$BK$21,1,ROUND(p_stop_det,0))*(1-p_inv_liq),0)</f>
        <v/>
      </c>
      <c r="BH39" s="14">
        <f>IF(BH$3=ROUND(p_stop_det,0)+1,INDEX($D$21:$BK$21,1,ROUND(p_stop_det,0))*(1-p_inv_liq),0)</f>
        <v/>
      </c>
      <c r="BI39" s="14">
        <f>IF(BI$3=ROUND(p_stop_det,0)+1,INDEX($D$21:$BK$21,1,ROUND(p_stop_det,0))*(1-p_inv_liq),0)</f>
        <v/>
      </c>
      <c r="BJ39" s="14">
        <f>IF(BJ$3=ROUND(p_stop_det,0)+1,INDEX($D$21:$BK$21,1,ROUND(p_stop_det,0))*(1-p_inv_liq),0)</f>
        <v/>
      </c>
      <c r="BK39" s="14">
        <f>IF(BK$3=ROUND(p_stop_det,0)+1,INDEX($D$21:$BK$21,1,ROUND(p_stop_det,0))*(1-p_inv_liq),0)</f>
        <v/>
      </c>
    </row>
    <row r="40">
      <c r="A40" s="35" t="inlineStr">
        <is>
          <t>UTILIDAD ANTES DE IMPUESTOS</t>
        </is>
      </c>
      <c r="B40" s="31" t="n"/>
      <c r="C40" s="31" t="n"/>
      <c r="D40" s="36">
        <f>D17-D20*(1+p_expiry)-D27-D17*p_baddebt-D38-D28-D29-D30-D31-D32-D37-D39</f>
        <v/>
      </c>
      <c r="E40" s="36">
        <f>E17-E20*(1+p_expiry)-E27-E17*p_baddebt-E38-E28-E29-E30-E31-E32-E37-E39</f>
        <v/>
      </c>
      <c r="F40" s="36">
        <f>F17-F20*(1+p_expiry)-F27-F17*p_baddebt-F38-F28-F29-F30-F31-F32-F37-F39</f>
        <v/>
      </c>
      <c r="G40" s="36">
        <f>G17-G20*(1+p_expiry)-G27-G17*p_baddebt-G38-G28-G29-G30-G31-G32-G37-G39</f>
        <v/>
      </c>
      <c r="H40" s="36">
        <f>H17-H20*(1+p_expiry)-H27-H17*p_baddebt-H38-H28-H29-H30-H31-H32-H37-H39</f>
        <v/>
      </c>
      <c r="I40" s="36">
        <f>I17-I20*(1+p_expiry)-I27-I17*p_baddebt-I38-I28-I29-I30-I31-I32-I37-I39</f>
        <v/>
      </c>
      <c r="J40" s="36">
        <f>J17-J20*(1+p_expiry)-J27-J17*p_baddebt-J38-J28-J29-J30-J31-J32-J37-J39</f>
        <v/>
      </c>
      <c r="K40" s="36">
        <f>K17-K20*(1+p_expiry)-K27-K17*p_baddebt-K38-K28-K29-K30-K31-K32-K37-K39</f>
        <v/>
      </c>
      <c r="L40" s="36">
        <f>L17-L20*(1+p_expiry)-L27-L17*p_baddebt-L38-L28-L29-L30-L31-L32-L37-L39</f>
        <v/>
      </c>
      <c r="M40" s="36">
        <f>M17-M20*(1+p_expiry)-M27-M17*p_baddebt-M38-M28-M29-M30-M31-M32-M37-M39</f>
        <v/>
      </c>
      <c r="N40" s="36">
        <f>N17-N20*(1+p_expiry)-N27-N17*p_baddebt-N38-N28-N29-N30-N31-N32-N37-N39</f>
        <v/>
      </c>
      <c r="O40" s="36">
        <f>O17-O20*(1+p_expiry)-O27-O17*p_baddebt-O38-O28-O29-O30-O31-O32-O37-O39</f>
        <v/>
      </c>
      <c r="P40" s="36">
        <f>P17-P20*(1+p_expiry)-P27-P17*p_baddebt-P38-P28-P29-P30-P31-P32-P37-P39</f>
        <v/>
      </c>
      <c r="Q40" s="36">
        <f>Q17-Q20*(1+p_expiry)-Q27-Q17*p_baddebt-Q38-Q28-Q29-Q30-Q31-Q32-Q37-Q39</f>
        <v/>
      </c>
      <c r="R40" s="36">
        <f>R17-R20*(1+p_expiry)-R27-R17*p_baddebt-R38-R28-R29-R30-R31-R32-R37-R39</f>
        <v/>
      </c>
      <c r="S40" s="36">
        <f>S17-S20*(1+p_expiry)-S27-S17*p_baddebt-S38-S28-S29-S30-S31-S32-S37-S39</f>
        <v/>
      </c>
      <c r="T40" s="36">
        <f>T17-T20*(1+p_expiry)-T27-T17*p_baddebt-T38-T28-T29-T30-T31-T32-T37-T39</f>
        <v/>
      </c>
      <c r="U40" s="36">
        <f>U17-U20*(1+p_expiry)-U27-U17*p_baddebt-U38-U28-U29-U30-U31-U32-U37-U39</f>
        <v/>
      </c>
      <c r="V40" s="36">
        <f>V17-V20*(1+p_expiry)-V27-V17*p_baddebt-V38-V28-V29-V30-V31-V32-V37-V39</f>
        <v/>
      </c>
      <c r="W40" s="36">
        <f>W17-W20*(1+p_expiry)-W27-W17*p_baddebt-W38-W28-W29-W30-W31-W32-W37-W39</f>
        <v/>
      </c>
      <c r="X40" s="36">
        <f>X17-X20*(1+p_expiry)-X27-X17*p_baddebt-X38-X28-X29-X30-X31-X32-X37-X39</f>
        <v/>
      </c>
      <c r="Y40" s="36">
        <f>Y17-Y20*(1+p_expiry)-Y27-Y17*p_baddebt-Y38-Y28-Y29-Y30-Y31-Y32-Y37-Y39</f>
        <v/>
      </c>
      <c r="Z40" s="36">
        <f>Z17-Z20*(1+p_expiry)-Z27-Z17*p_baddebt-Z38-Z28-Z29-Z30-Z31-Z32-Z37-Z39</f>
        <v/>
      </c>
      <c r="AA40" s="36">
        <f>AA17-AA20*(1+p_expiry)-AA27-AA17*p_baddebt-AA38-AA28-AA29-AA30-AA31-AA32-AA37-AA39</f>
        <v/>
      </c>
      <c r="AB40" s="36">
        <f>AB17-AB20*(1+p_expiry)-AB27-AB17*p_baddebt-AB38-AB28-AB29-AB30-AB31-AB32-AB37-AB39</f>
        <v/>
      </c>
      <c r="AC40" s="36">
        <f>AC17-AC20*(1+p_expiry)-AC27-AC17*p_baddebt-AC38-AC28-AC29-AC30-AC31-AC32-AC37-AC39</f>
        <v/>
      </c>
      <c r="AD40" s="36">
        <f>AD17-AD20*(1+p_expiry)-AD27-AD17*p_baddebt-AD38-AD28-AD29-AD30-AD31-AD32-AD37-AD39</f>
        <v/>
      </c>
      <c r="AE40" s="36">
        <f>AE17-AE20*(1+p_expiry)-AE27-AE17*p_baddebt-AE38-AE28-AE29-AE30-AE31-AE32-AE37-AE39</f>
        <v/>
      </c>
      <c r="AF40" s="36">
        <f>AF17-AF20*(1+p_expiry)-AF27-AF17*p_baddebt-AF38-AF28-AF29-AF30-AF31-AF32-AF37-AF39</f>
        <v/>
      </c>
      <c r="AG40" s="36">
        <f>AG17-AG20*(1+p_expiry)-AG27-AG17*p_baddebt-AG38-AG28-AG29-AG30-AG31-AG32-AG37-AG39</f>
        <v/>
      </c>
      <c r="AH40" s="36">
        <f>AH17-AH20*(1+p_expiry)-AH27-AH17*p_baddebt-AH38-AH28-AH29-AH30-AH31-AH32-AH37-AH39</f>
        <v/>
      </c>
      <c r="AI40" s="36">
        <f>AI17-AI20*(1+p_expiry)-AI27-AI17*p_baddebt-AI38-AI28-AI29-AI30-AI31-AI32-AI37-AI39</f>
        <v/>
      </c>
      <c r="AJ40" s="36">
        <f>AJ17-AJ20*(1+p_expiry)-AJ27-AJ17*p_baddebt-AJ38-AJ28-AJ29-AJ30-AJ31-AJ32-AJ37-AJ39</f>
        <v/>
      </c>
      <c r="AK40" s="36">
        <f>AK17-AK20*(1+p_expiry)-AK27-AK17*p_baddebt-AK38-AK28-AK29-AK30-AK31-AK32-AK37-AK39</f>
        <v/>
      </c>
      <c r="AL40" s="36">
        <f>AL17-AL20*(1+p_expiry)-AL27-AL17*p_baddebt-AL38-AL28-AL29-AL30-AL31-AL32-AL37-AL39</f>
        <v/>
      </c>
      <c r="AM40" s="36">
        <f>AM17-AM20*(1+p_expiry)-AM27-AM17*p_baddebt-AM38-AM28-AM29-AM30-AM31-AM32-AM37-AM39</f>
        <v/>
      </c>
      <c r="AN40" s="36">
        <f>AN17-AN20*(1+p_expiry)-AN27-AN17*p_baddebt-AN38-AN28-AN29-AN30-AN31-AN32-AN37-AN39</f>
        <v/>
      </c>
      <c r="AO40" s="36">
        <f>AO17-AO20*(1+p_expiry)-AO27-AO17*p_baddebt-AO38-AO28-AO29-AO30-AO31-AO32-AO37-AO39</f>
        <v/>
      </c>
      <c r="AP40" s="36">
        <f>AP17-AP20*(1+p_expiry)-AP27-AP17*p_baddebt-AP38-AP28-AP29-AP30-AP31-AP32-AP37-AP39</f>
        <v/>
      </c>
      <c r="AQ40" s="36">
        <f>AQ17-AQ20*(1+p_expiry)-AQ27-AQ17*p_baddebt-AQ38-AQ28-AQ29-AQ30-AQ31-AQ32-AQ37-AQ39</f>
        <v/>
      </c>
      <c r="AR40" s="36">
        <f>AR17-AR20*(1+p_expiry)-AR27-AR17*p_baddebt-AR38-AR28-AR29-AR30-AR31-AR32-AR37-AR39</f>
        <v/>
      </c>
      <c r="AS40" s="36">
        <f>AS17-AS20*(1+p_expiry)-AS27-AS17*p_baddebt-AS38-AS28-AS29-AS30-AS31-AS32-AS37-AS39</f>
        <v/>
      </c>
      <c r="AT40" s="36">
        <f>AT17-AT20*(1+p_expiry)-AT27-AT17*p_baddebt-AT38-AT28-AT29-AT30-AT31-AT32-AT37-AT39</f>
        <v/>
      </c>
      <c r="AU40" s="36">
        <f>AU17-AU20*(1+p_expiry)-AU27-AU17*p_baddebt-AU38-AU28-AU29-AU30-AU31-AU32-AU37-AU39</f>
        <v/>
      </c>
      <c r="AV40" s="36">
        <f>AV17-AV20*(1+p_expiry)-AV27-AV17*p_baddebt-AV38-AV28-AV29-AV30-AV31-AV32-AV37-AV39</f>
        <v/>
      </c>
      <c r="AW40" s="36">
        <f>AW17-AW20*(1+p_expiry)-AW27-AW17*p_baddebt-AW38-AW28-AW29-AW30-AW31-AW32-AW37-AW39</f>
        <v/>
      </c>
      <c r="AX40" s="36">
        <f>AX17-AX20*(1+p_expiry)-AX27-AX17*p_baddebt-AX38-AX28-AX29-AX30-AX31-AX32-AX37-AX39</f>
        <v/>
      </c>
      <c r="AY40" s="36">
        <f>AY17-AY20*(1+p_expiry)-AY27-AY17*p_baddebt-AY38-AY28-AY29-AY30-AY31-AY32-AY37-AY39</f>
        <v/>
      </c>
      <c r="AZ40" s="36">
        <f>AZ17-AZ20*(1+p_expiry)-AZ27-AZ17*p_baddebt-AZ38-AZ28-AZ29-AZ30-AZ31-AZ32-AZ37-AZ39</f>
        <v/>
      </c>
      <c r="BA40" s="36">
        <f>BA17-BA20*(1+p_expiry)-BA27-BA17*p_baddebt-BA38-BA28-BA29-BA30-BA31-BA32-BA37-BA39</f>
        <v/>
      </c>
      <c r="BB40" s="36">
        <f>BB17-BB20*(1+p_expiry)-BB27-BB17*p_baddebt-BB38-BB28-BB29-BB30-BB31-BB32-BB37-BB39</f>
        <v/>
      </c>
      <c r="BC40" s="36">
        <f>BC17-BC20*(1+p_expiry)-BC27-BC17*p_baddebt-BC38-BC28-BC29-BC30-BC31-BC32-BC37-BC39</f>
        <v/>
      </c>
      <c r="BD40" s="36">
        <f>BD17-BD20*(1+p_expiry)-BD27-BD17*p_baddebt-BD38-BD28-BD29-BD30-BD31-BD32-BD37-BD39</f>
        <v/>
      </c>
      <c r="BE40" s="36">
        <f>BE17-BE20*(1+p_expiry)-BE27-BE17*p_baddebt-BE38-BE28-BE29-BE30-BE31-BE32-BE37-BE39</f>
        <v/>
      </c>
      <c r="BF40" s="36">
        <f>BF17-BF20*(1+p_expiry)-BF27-BF17*p_baddebt-BF38-BF28-BF29-BF30-BF31-BF32-BF37-BF39</f>
        <v/>
      </c>
      <c r="BG40" s="36">
        <f>BG17-BG20*(1+p_expiry)-BG27-BG17*p_baddebt-BG38-BG28-BG29-BG30-BG31-BG32-BG37-BG39</f>
        <v/>
      </c>
      <c r="BH40" s="36">
        <f>BH17-BH20*(1+p_expiry)-BH27-BH17*p_baddebt-BH38-BH28-BH29-BH30-BH31-BH32-BH37-BH39</f>
        <v/>
      </c>
      <c r="BI40" s="36">
        <f>BI17-BI20*(1+p_expiry)-BI27-BI17*p_baddebt-BI38-BI28-BI29-BI30-BI31-BI32-BI37-BI39</f>
        <v/>
      </c>
      <c r="BJ40" s="36">
        <f>BJ17-BJ20*(1+p_expiry)-BJ27-BJ17*p_baddebt-BJ38-BJ28-BJ29-BJ30-BJ31-BJ32-BJ37-BJ39</f>
        <v/>
      </c>
      <c r="BK40" s="36">
        <f>BK17-BK20*(1+p_expiry)-BK27-BK17*p_baddebt-BK38-BK28-BK29-BK30-BK31-BK32-BK37-BK39</f>
        <v/>
      </c>
      <c r="BL40" s="31" t="n"/>
    </row>
    <row r="41">
      <c r="A41" s="9" t="inlineStr">
        <is>
          <t>Impuesto sobre la renta pagado</t>
        </is>
      </c>
      <c r="D41" s="37">
        <f>0</f>
        <v/>
      </c>
      <c r="E41" s="37">
        <f>0</f>
        <v/>
      </c>
      <c r="F41" s="37">
        <f>0</f>
        <v/>
      </c>
      <c r="G41" s="37">
        <f>0</f>
        <v/>
      </c>
      <c r="H41" s="37">
        <f>0</f>
        <v/>
      </c>
      <c r="I41" s="37">
        <f>0</f>
        <v/>
      </c>
      <c r="J41" s="37">
        <f>0</f>
        <v/>
      </c>
      <c r="K41" s="37">
        <f>0</f>
        <v/>
      </c>
      <c r="L41" s="37">
        <f>0</f>
        <v/>
      </c>
      <c r="M41" s="37">
        <f>0</f>
        <v/>
      </c>
      <c r="N41" s="37">
        <f>0</f>
        <v/>
      </c>
      <c r="O41" s="37">
        <f>0</f>
        <v/>
      </c>
      <c r="P41" s="37">
        <f>0</f>
        <v/>
      </c>
      <c r="Q41" s="37">
        <f>0</f>
        <v/>
      </c>
      <c r="R41" s="37">
        <f>Anual!$C$14</f>
        <v/>
      </c>
      <c r="S41" s="37">
        <f>0</f>
        <v/>
      </c>
      <c r="T41" s="37">
        <f>0</f>
        <v/>
      </c>
      <c r="U41" s="37">
        <f>Anual!$C$14/3</f>
        <v/>
      </c>
      <c r="V41" s="37">
        <f>0</f>
        <v/>
      </c>
      <c r="W41" s="37">
        <f>0</f>
        <v/>
      </c>
      <c r="X41" s="37">
        <f>Anual!$C$14/3</f>
        <v/>
      </c>
      <c r="Y41" s="37">
        <f>0</f>
        <v/>
      </c>
      <c r="Z41" s="37">
        <f>0</f>
        <v/>
      </c>
      <c r="AA41" s="37">
        <f>Anual!$C$14/3</f>
        <v/>
      </c>
      <c r="AB41" s="37">
        <f>0</f>
        <v/>
      </c>
      <c r="AC41" s="37">
        <f>0</f>
        <v/>
      </c>
      <c r="AD41" s="37">
        <f>Anual!$D$14-Anual!$C$14</f>
        <v/>
      </c>
      <c r="AE41" s="37">
        <f>0</f>
        <v/>
      </c>
      <c r="AF41" s="37">
        <f>0</f>
        <v/>
      </c>
      <c r="AG41" s="37">
        <f>Anual!$D$14/3</f>
        <v/>
      </c>
      <c r="AH41" s="37">
        <f>0</f>
        <v/>
      </c>
      <c r="AI41" s="37">
        <f>0</f>
        <v/>
      </c>
      <c r="AJ41" s="37">
        <f>Anual!$D$14/3</f>
        <v/>
      </c>
      <c r="AK41" s="37">
        <f>0</f>
        <v/>
      </c>
      <c r="AL41" s="37">
        <f>0</f>
        <v/>
      </c>
      <c r="AM41" s="37">
        <f>Anual!$D$14/3</f>
        <v/>
      </c>
      <c r="AN41" s="37">
        <f>0</f>
        <v/>
      </c>
      <c r="AO41" s="37">
        <f>0</f>
        <v/>
      </c>
      <c r="AP41" s="37">
        <f>Anual!$E$14-Anual!$D$14</f>
        <v/>
      </c>
      <c r="AQ41" s="37">
        <f>0</f>
        <v/>
      </c>
      <c r="AR41" s="37">
        <f>0</f>
        <v/>
      </c>
      <c r="AS41" s="37">
        <f>Anual!$E$14/3</f>
        <v/>
      </c>
      <c r="AT41" s="37">
        <f>0</f>
        <v/>
      </c>
      <c r="AU41" s="37">
        <f>0</f>
        <v/>
      </c>
      <c r="AV41" s="37">
        <f>Anual!$E$14/3</f>
        <v/>
      </c>
      <c r="AW41" s="37">
        <f>0</f>
        <v/>
      </c>
      <c r="AX41" s="37">
        <f>0</f>
        <v/>
      </c>
      <c r="AY41" s="37">
        <f>Anual!$E$14/3</f>
        <v/>
      </c>
      <c r="AZ41" s="37">
        <f>0</f>
        <v/>
      </c>
      <c r="BA41" s="37">
        <f>0</f>
        <v/>
      </c>
      <c r="BB41" s="37">
        <f>Anual!$F$14-Anual!$E$14</f>
        <v/>
      </c>
      <c r="BC41" s="37">
        <f>0</f>
        <v/>
      </c>
      <c r="BD41" s="37">
        <f>0</f>
        <v/>
      </c>
      <c r="BE41" s="37">
        <f>Anual!$F$14/3</f>
        <v/>
      </c>
      <c r="BF41" s="37">
        <f>0</f>
        <v/>
      </c>
      <c r="BG41" s="37">
        <f>0</f>
        <v/>
      </c>
      <c r="BH41" s="37">
        <f>Anual!$F$14/3</f>
        <v/>
      </c>
      <c r="BI41" s="37">
        <f>0</f>
        <v/>
      </c>
      <c r="BJ41" s="37">
        <f>0</f>
        <v/>
      </c>
      <c r="BK41" s="37">
        <f>Anual!$F$14/3</f>
        <v/>
      </c>
    </row>
    <row r="42">
      <c r="A42" s="9" t="inlineStr">
        <is>
          <t>Impuesto de aviso de operación pagado</t>
        </is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>
        <f>IF(R$3&lt;=ROUND(p_stop_det,0)+3,MIN(60000,MAX(100,p_aviso*MAX(0,SUM($D$45:$O$45)+SUM(Anual!$C$15:$C$15)-SUM($D$46:$O$46)-SUM($D$47:$O$47)))),0)</f>
        <v/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>
        <f>IF(AD$3&lt;=ROUND(p_stop_det,0)+3,MIN(60000,MAX(100,p_aviso*MAX(0,SUM($D$45:$AA$45)+SUM(Anual!$C$15:$D$15)-SUM($D$46:$AA$46)-SUM($D$47:$AA$47)))),0)</f>
        <v/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14" t="n">
        <v>0</v>
      </c>
      <c r="AP42" s="14">
        <f>IF(AP$3&lt;=ROUND(p_stop_det,0)+3,MIN(60000,MAX(100,p_aviso*MAX(0,SUM($D$45:$AM$45)+SUM(Anual!$C$15:$E$15)-SUM($D$46:$AM$46)-SUM($D$47:$AM$47)))),0)</f>
        <v/>
      </c>
      <c r="AQ42" s="14" t="n">
        <v>0</v>
      </c>
      <c r="AR42" s="14" t="n">
        <v>0</v>
      </c>
      <c r="AS42" s="14" t="n">
        <v>0</v>
      </c>
      <c r="AT42" s="14" t="n">
        <v>0</v>
      </c>
      <c r="AU42" s="14" t="n">
        <v>0</v>
      </c>
      <c r="AV42" s="14" t="n">
        <v>0</v>
      </c>
      <c r="AW42" s="14" t="n">
        <v>0</v>
      </c>
      <c r="AX42" s="14" t="n">
        <v>0</v>
      </c>
      <c r="AY42" s="14" t="n">
        <v>0</v>
      </c>
      <c r="AZ42" s="14" t="n">
        <v>0</v>
      </c>
      <c r="BA42" s="14" t="n">
        <v>0</v>
      </c>
      <c r="BB42" s="14">
        <f>IF(BB$3&lt;=ROUND(p_stop_det,0)+3,MIN(60000,MAX(100,p_aviso*MAX(0,SUM($D$45:$AY$45)+SUM(Anual!$C$15:$F$15)-SUM($D$46:$AY$46)-SUM($D$47:$AY$47)))),0)</f>
        <v/>
      </c>
      <c r="BC42" s="14" t="n">
        <v>0</v>
      </c>
      <c r="BD42" s="14" t="n">
        <v>0</v>
      </c>
      <c r="BE42" s="14" t="n">
        <v>0</v>
      </c>
      <c r="BF42" s="14" t="n">
        <v>0</v>
      </c>
      <c r="BG42" s="14" t="n">
        <v>0</v>
      </c>
      <c r="BH42" s="14" t="n">
        <v>0</v>
      </c>
      <c r="BI42" s="14" t="n">
        <v>0</v>
      </c>
      <c r="BJ42" s="14" t="n">
        <v>0</v>
      </c>
      <c r="BK42" s="14" t="n">
        <v>0</v>
      </c>
    </row>
    <row r="43">
      <c r="A43" s="9" t="inlineStr">
        <is>
          <t>Caja antes de aportes</t>
        </is>
      </c>
      <c r="D43" s="14">
        <f>C49+D26-D25-D27-D28-D29-D30-D31-D32-D36-D37-D41-D42</f>
        <v/>
      </c>
      <c r="E43" s="14">
        <f>D49+E26-E25-E27-E28-E29-E30-E31-E32-E36-E37-E41-E42</f>
        <v/>
      </c>
      <c r="F43" s="14">
        <f>E49+F26-F25-F27-F28-F29-F30-F31-F32-F36-F37-F41-F42</f>
        <v/>
      </c>
      <c r="G43" s="14">
        <f>F49+G26-G25-G27-G28-G29-G30-G31-G32-G36-G37-G41-G42</f>
        <v/>
      </c>
      <c r="H43" s="14">
        <f>G49+H26-H25-H27-H28-H29-H30-H31-H32-H36-H37-H41-H42</f>
        <v/>
      </c>
      <c r="I43" s="14">
        <f>H49+I26-I25-I27-I28-I29-I30-I31-I32-I36-I37-I41-I42</f>
        <v/>
      </c>
      <c r="J43" s="14">
        <f>I49+J26-J25-J27-J28-J29-J30-J31-J32-J36-J37-J41-J42</f>
        <v/>
      </c>
      <c r="K43" s="14">
        <f>J49+K26-K25-K27-K28-K29-K30-K31-K32-K36-K37-K41-K42</f>
        <v/>
      </c>
      <c r="L43" s="14">
        <f>K49+L26-L25-L27-L28-L29-L30-L31-L32-L36-L37-L41-L42</f>
        <v/>
      </c>
      <c r="M43" s="14">
        <f>L49+M26-M25-M27-M28-M29-M30-M31-M32-M36-M37-M41-M42</f>
        <v/>
      </c>
      <c r="N43" s="14">
        <f>M49+N26-N25-N27-N28-N29-N30-N31-N32-N36-N37-N41-N42</f>
        <v/>
      </c>
      <c r="O43" s="14">
        <f>N49+O26-O25-O27-O28-O29-O30-O31-O32-O36-O37-O41-O42</f>
        <v/>
      </c>
      <c r="P43" s="14">
        <f>O49+P26-P25-P27-P28-P29-P30-P31-P32-P36-P37-P41-P42</f>
        <v/>
      </c>
      <c r="Q43" s="14">
        <f>P49+Q26-Q25-Q27-Q28-Q29-Q30-Q31-Q32-Q36-Q37-Q41-Q42</f>
        <v/>
      </c>
      <c r="R43" s="14">
        <f>Q49+R26-R25-R27-R28-R29-R30-R31-R32-R36-R37-R41-R42</f>
        <v/>
      </c>
      <c r="S43" s="14">
        <f>R49+S26-S25-S27-S28-S29-S30-S31-S32-S36-S37-S41-S42</f>
        <v/>
      </c>
      <c r="T43" s="14">
        <f>S49+T26-T25-T27-T28-T29-T30-T31-T32-T36-T37-T41-T42</f>
        <v/>
      </c>
      <c r="U43" s="14">
        <f>T49+U26-U25-U27-U28-U29-U30-U31-U32-U36-U37-U41-U42</f>
        <v/>
      </c>
      <c r="V43" s="14">
        <f>U49+V26-V25-V27-V28-V29-V30-V31-V32-V36-V37-V41-V42</f>
        <v/>
      </c>
      <c r="W43" s="14">
        <f>V49+W26-W25-W27-W28-W29-W30-W31-W32-W36-W37-W41-W42</f>
        <v/>
      </c>
      <c r="X43" s="14">
        <f>W49+X26-X25-X27-X28-X29-X30-X31-X32-X36-X37-X41-X42</f>
        <v/>
      </c>
      <c r="Y43" s="14">
        <f>X49+Y26-Y25-Y27-Y28-Y29-Y30-Y31-Y32-Y36-Y37-Y41-Y42</f>
        <v/>
      </c>
      <c r="Z43" s="14">
        <f>Y49+Z26-Z25-Z27-Z28-Z29-Z30-Z31-Z32-Z36-Z37-Z41-Z42</f>
        <v/>
      </c>
      <c r="AA43" s="14">
        <f>Z49+AA26-AA25-AA27-AA28-AA29-AA30-AA31-AA32-AA36-AA37-AA41-AA42</f>
        <v/>
      </c>
      <c r="AB43" s="14">
        <f>AA49+AB26-AB25-AB27-AB28-AB29-AB30-AB31-AB32-AB36-AB37-AB41-AB42</f>
        <v/>
      </c>
      <c r="AC43" s="14">
        <f>AB49+AC26-AC25-AC27-AC28-AC29-AC30-AC31-AC32-AC36-AC37-AC41-AC42</f>
        <v/>
      </c>
      <c r="AD43" s="14">
        <f>AC49+AD26-AD25-AD27-AD28-AD29-AD30-AD31-AD32-AD36-AD37-AD41-AD42</f>
        <v/>
      </c>
      <c r="AE43" s="14">
        <f>AD49+AE26-AE25-AE27-AE28-AE29-AE30-AE31-AE32-AE36-AE37-AE41-AE42</f>
        <v/>
      </c>
      <c r="AF43" s="14">
        <f>AE49+AF26-AF25-AF27-AF28-AF29-AF30-AF31-AF32-AF36-AF37-AF41-AF42</f>
        <v/>
      </c>
      <c r="AG43" s="14">
        <f>AF49+AG26-AG25-AG27-AG28-AG29-AG30-AG31-AG32-AG36-AG37-AG41-AG42</f>
        <v/>
      </c>
      <c r="AH43" s="14">
        <f>AG49+AH26-AH25-AH27-AH28-AH29-AH30-AH31-AH32-AH36-AH37-AH41-AH42</f>
        <v/>
      </c>
      <c r="AI43" s="14">
        <f>AH49+AI26-AI25-AI27-AI28-AI29-AI30-AI31-AI32-AI36-AI37-AI41-AI42</f>
        <v/>
      </c>
      <c r="AJ43" s="14">
        <f>AI49+AJ26-AJ25-AJ27-AJ28-AJ29-AJ30-AJ31-AJ32-AJ36-AJ37-AJ41-AJ42</f>
        <v/>
      </c>
      <c r="AK43" s="14">
        <f>AJ49+AK26-AK25-AK27-AK28-AK29-AK30-AK31-AK32-AK36-AK37-AK41-AK42</f>
        <v/>
      </c>
      <c r="AL43" s="14">
        <f>AK49+AL26-AL25-AL27-AL28-AL29-AL30-AL31-AL32-AL36-AL37-AL41-AL42</f>
        <v/>
      </c>
      <c r="AM43" s="14">
        <f>AL49+AM26-AM25-AM27-AM28-AM29-AM30-AM31-AM32-AM36-AM37-AM41-AM42</f>
        <v/>
      </c>
      <c r="AN43" s="14">
        <f>AM49+AN26-AN25-AN27-AN28-AN29-AN30-AN31-AN32-AN36-AN37-AN41-AN42</f>
        <v/>
      </c>
      <c r="AO43" s="14">
        <f>AN49+AO26-AO25-AO27-AO28-AO29-AO30-AO31-AO32-AO36-AO37-AO41-AO42</f>
        <v/>
      </c>
      <c r="AP43" s="14">
        <f>AO49+AP26-AP25-AP27-AP28-AP29-AP30-AP31-AP32-AP36-AP37-AP41-AP42</f>
        <v/>
      </c>
      <c r="AQ43" s="14">
        <f>AP49+AQ26-AQ25-AQ27-AQ28-AQ29-AQ30-AQ31-AQ32-AQ36-AQ37-AQ41-AQ42</f>
        <v/>
      </c>
      <c r="AR43" s="14">
        <f>AQ49+AR26-AR25-AR27-AR28-AR29-AR30-AR31-AR32-AR36-AR37-AR41-AR42</f>
        <v/>
      </c>
      <c r="AS43" s="14">
        <f>AR49+AS26-AS25-AS27-AS28-AS29-AS30-AS31-AS32-AS36-AS37-AS41-AS42</f>
        <v/>
      </c>
      <c r="AT43" s="14">
        <f>AS49+AT26-AT25-AT27-AT28-AT29-AT30-AT31-AT32-AT36-AT37-AT41-AT42</f>
        <v/>
      </c>
      <c r="AU43" s="14">
        <f>AT49+AU26-AU25-AU27-AU28-AU29-AU30-AU31-AU32-AU36-AU37-AU41-AU42</f>
        <v/>
      </c>
      <c r="AV43" s="14">
        <f>AU49+AV26-AV25-AV27-AV28-AV29-AV30-AV31-AV32-AV36-AV37-AV41-AV42</f>
        <v/>
      </c>
      <c r="AW43" s="14">
        <f>AV49+AW26-AW25-AW27-AW28-AW29-AW30-AW31-AW32-AW36-AW37-AW41-AW42</f>
        <v/>
      </c>
      <c r="AX43" s="14">
        <f>AW49+AX26-AX25-AX27-AX28-AX29-AX30-AX31-AX32-AX36-AX37-AX41-AX42</f>
        <v/>
      </c>
      <c r="AY43" s="14">
        <f>AX49+AY26-AY25-AY27-AY28-AY29-AY30-AY31-AY32-AY36-AY37-AY41-AY42</f>
        <v/>
      </c>
      <c r="AZ43" s="14">
        <f>AY49+AZ26-AZ25-AZ27-AZ28-AZ29-AZ30-AZ31-AZ32-AZ36-AZ37-AZ41-AZ42</f>
        <v/>
      </c>
      <c r="BA43" s="14">
        <f>AZ49+BA26-BA25-BA27-BA28-BA29-BA30-BA31-BA32-BA36-BA37-BA41-BA42</f>
        <v/>
      </c>
      <c r="BB43" s="14">
        <f>BA49+BB26-BB25-BB27-BB28-BB29-BB30-BB31-BB32-BB36-BB37-BB41-BB42</f>
        <v/>
      </c>
      <c r="BC43" s="14">
        <f>BB49+BC26-BC25-BC27-BC28-BC29-BC30-BC31-BC32-BC36-BC37-BC41-BC42</f>
        <v/>
      </c>
      <c r="BD43" s="14">
        <f>BC49+BD26-BD25-BD27-BD28-BD29-BD30-BD31-BD32-BD36-BD37-BD41-BD42</f>
        <v/>
      </c>
      <c r="BE43" s="14">
        <f>BD49+BE26-BE25-BE27-BE28-BE29-BE30-BE31-BE32-BE36-BE37-BE41-BE42</f>
        <v/>
      </c>
      <c r="BF43" s="14">
        <f>BE49+BF26-BF25-BF27-BF28-BF29-BF30-BF31-BF32-BF36-BF37-BF41-BF42</f>
        <v/>
      </c>
      <c r="BG43" s="14">
        <f>BF49+BG26-BG25-BG27-BG28-BG29-BG30-BG31-BG32-BG36-BG37-BG41-BG42</f>
        <v/>
      </c>
      <c r="BH43" s="14">
        <f>BG49+BH26-BH25-BH27-BH28-BH29-BH30-BH31-BH32-BH36-BH37-BH41-BH42</f>
        <v/>
      </c>
      <c r="BI43" s="14">
        <f>BH49+BI26-BI25-BI27-BI28-BI29-BI30-BI31-BI32-BI36-BI37-BI41-BI42</f>
        <v/>
      </c>
      <c r="BJ43" s="14">
        <f>BI49+BJ26-BJ25-BJ27-BJ28-BJ29-BJ30-BJ31-BJ32-BJ36-BJ37-BJ41-BJ42</f>
        <v/>
      </c>
      <c r="BK43" s="14">
        <f>BJ49+BK26-BK25-BK27-BK28-BK29-BK30-BK31-BK32-BK36-BK37-BK41-BK42</f>
        <v/>
      </c>
    </row>
    <row r="44">
      <c r="A44" s="9" t="inlineStr">
        <is>
          <t>Caja mínima requerida</t>
        </is>
      </c>
      <c r="D44" s="14">
        <f>p_mincash_m*D28</f>
        <v/>
      </c>
      <c r="E44" s="14">
        <f>p_mincash_m*E28</f>
        <v/>
      </c>
      <c r="F44" s="14">
        <f>p_mincash_m*F28</f>
        <v/>
      </c>
      <c r="G44" s="14">
        <f>p_mincash_m*G28</f>
        <v/>
      </c>
      <c r="H44" s="14">
        <f>p_mincash_m*H28</f>
        <v/>
      </c>
      <c r="I44" s="14">
        <f>p_mincash_m*I28</f>
        <v/>
      </c>
      <c r="J44" s="14">
        <f>p_mincash_m*J28</f>
        <v/>
      </c>
      <c r="K44" s="14">
        <f>p_mincash_m*K28</f>
        <v/>
      </c>
      <c r="L44" s="14">
        <f>p_mincash_m*L28</f>
        <v/>
      </c>
      <c r="M44" s="14">
        <f>p_mincash_m*M28</f>
        <v/>
      </c>
      <c r="N44" s="14">
        <f>p_mincash_m*N28</f>
        <v/>
      </c>
      <c r="O44" s="14">
        <f>p_mincash_m*O28</f>
        <v/>
      </c>
      <c r="P44" s="14">
        <f>p_mincash_m*P28</f>
        <v/>
      </c>
      <c r="Q44" s="14">
        <f>p_mincash_m*Q28</f>
        <v/>
      </c>
      <c r="R44" s="14">
        <f>p_mincash_m*R28</f>
        <v/>
      </c>
      <c r="S44" s="14">
        <f>p_mincash_m*S28</f>
        <v/>
      </c>
      <c r="T44" s="14">
        <f>p_mincash_m*T28</f>
        <v/>
      </c>
      <c r="U44" s="14">
        <f>p_mincash_m*U28</f>
        <v/>
      </c>
      <c r="V44" s="14">
        <f>p_mincash_m*V28</f>
        <v/>
      </c>
      <c r="W44" s="14">
        <f>p_mincash_m*W28</f>
        <v/>
      </c>
      <c r="X44" s="14">
        <f>p_mincash_m*X28</f>
        <v/>
      </c>
      <c r="Y44" s="14">
        <f>p_mincash_m*Y28</f>
        <v/>
      </c>
      <c r="Z44" s="14">
        <f>p_mincash_m*Z28</f>
        <v/>
      </c>
      <c r="AA44" s="14">
        <f>p_mincash_m*AA28</f>
        <v/>
      </c>
      <c r="AB44" s="14">
        <f>p_mincash_m*AB28</f>
        <v/>
      </c>
      <c r="AC44" s="14">
        <f>p_mincash_m*AC28</f>
        <v/>
      </c>
      <c r="AD44" s="14">
        <f>p_mincash_m*AD28</f>
        <v/>
      </c>
      <c r="AE44" s="14">
        <f>p_mincash_m*AE28</f>
        <v/>
      </c>
      <c r="AF44" s="14">
        <f>p_mincash_m*AF28</f>
        <v/>
      </c>
      <c r="AG44" s="14">
        <f>p_mincash_m*AG28</f>
        <v/>
      </c>
      <c r="AH44" s="14">
        <f>p_mincash_m*AH28</f>
        <v/>
      </c>
      <c r="AI44" s="14">
        <f>p_mincash_m*AI28</f>
        <v/>
      </c>
      <c r="AJ44" s="14">
        <f>p_mincash_m*AJ28</f>
        <v/>
      </c>
      <c r="AK44" s="14">
        <f>p_mincash_m*AK28</f>
        <v/>
      </c>
      <c r="AL44" s="14">
        <f>p_mincash_m*AL28</f>
        <v/>
      </c>
      <c r="AM44" s="14">
        <f>p_mincash_m*AM28</f>
        <v/>
      </c>
      <c r="AN44" s="14">
        <f>p_mincash_m*AN28</f>
        <v/>
      </c>
      <c r="AO44" s="14">
        <f>p_mincash_m*AO28</f>
        <v/>
      </c>
      <c r="AP44" s="14">
        <f>p_mincash_m*AP28</f>
        <v/>
      </c>
      <c r="AQ44" s="14">
        <f>p_mincash_m*AQ28</f>
        <v/>
      </c>
      <c r="AR44" s="14">
        <f>p_mincash_m*AR28</f>
        <v/>
      </c>
      <c r="AS44" s="14">
        <f>p_mincash_m*AS28</f>
        <v/>
      </c>
      <c r="AT44" s="14">
        <f>p_mincash_m*AT28</f>
        <v/>
      </c>
      <c r="AU44" s="14">
        <f>p_mincash_m*AU28</f>
        <v/>
      </c>
      <c r="AV44" s="14">
        <f>p_mincash_m*AV28</f>
        <v/>
      </c>
      <c r="AW44" s="14">
        <f>p_mincash_m*AW28</f>
        <v/>
      </c>
      <c r="AX44" s="14">
        <f>p_mincash_m*AX28</f>
        <v/>
      </c>
      <c r="AY44" s="14">
        <f>p_mincash_m*AY28</f>
        <v/>
      </c>
      <c r="AZ44" s="14">
        <f>p_mincash_m*AZ28</f>
        <v/>
      </c>
      <c r="BA44" s="14">
        <f>p_mincash_m*BA28</f>
        <v/>
      </c>
      <c r="BB44" s="14">
        <f>p_mincash_m*BB28</f>
        <v/>
      </c>
      <c r="BC44" s="14">
        <f>p_mincash_m*BC28</f>
        <v/>
      </c>
      <c r="BD44" s="14">
        <f>p_mincash_m*BD28</f>
        <v/>
      </c>
      <c r="BE44" s="14">
        <f>p_mincash_m*BE28</f>
        <v/>
      </c>
      <c r="BF44" s="14">
        <f>p_mincash_m*BF28</f>
        <v/>
      </c>
      <c r="BG44" s="14">
        <f>p_mincash_m*BG28</f>
        <v/>
      </c>
      <c r="BH44" s="14">
        <f>p_mincash_m*BH28</f>
        <v/>
      </c>
      <c r="BI44" s="14">
        <f>p_mincash_m*BI28</f>
        <v/>
      </c>
      <c r="BJ44" s="14">
        <f>p_mincash_m*BJ28</f>
        <v/>
      </c>
      <c r="BK44" s="14">
        <f>p_mincash_m*BK28</f>
        <v/>
      </c>
    </row>
    <row r="45">
      <c r="A45" s="35" t="inlineStr">
        <is>
          <t>APORTE DE CAPITAL</t>
        </is>
      </c>
      <c r="B45" s="31" t="n"/>
      <c r="C45" s="31" t="n"/>
      <c r="D45" s="36">
        <f>MAX(0,D44-D43)</f>
        <v/>
      </c>
      <c r="E45" s="36">
        <f>MAX(0,E44-E43)</f>
        <v/>
      </c>
      <c r="F45" s="36">
        <f>MAX(0,F44-F43)</f>
        <v/>
      </c>
      <c r="G45" s="36">
        <f>MAX(0,G44-G43)</f>
        <v/>
      </c>
      <c r="H45" s="36">
        <f>MAX(0,H44-H43)</f>
        <v/>
      </c>
      <c r="I45" s="36">
        <f>MAX(0,I44-I43)</f>
        <v/>
      </c>
      <c r="J45" s="36">
        <f>MAX(0,J44-J43)</f>
        <v/>
      </c>
      <c r="K45" s="36">
        <f>MAX(0,K44-K43)</f>
        <v/>
      </c>
      <c r="L45" s="36">
        <f>MAX(0,L44-L43)</f>
        <v/>
      </c>
      <c r="M45" s="36">
        <f>MAX(0,M44-M43)</f>
        <v/>
      </c>
      <c r="N45" s="36">
        <f>MAX(0,N44-N43)</f>
        <v/>
      </c>
      <c r="O45" s="36">
        <f>MAX(0,O44-O43)</f>
        <v/>
      </c>
      <c r="P45" s="36">
        <f>MAX(0,P44-P43)</f>
        <v/>
      </c>
      <c r="Q45" s="36">
        <f>MAX(0,Q44-Q43)</f>
        <v/>
      </c>
      <c r="R45" s="36">
        <f>MAX(0,R44-R43)</f>
        <v/>
      </c>
      <c r="S45" s="36">
        <f>MAX(0,S44-S43)</f>
        <v/>
      </c>
      <c r="T45" s="36">
        <f>MAX(0,T44-T43)</f>
        <v/>
      </c>
      <c r="U45" s="36">
        <f>MAX(0,U44-U43)</f>
        <v/>
      </c>
      <c r="V45" s="36">
        <f>MAX(0,V44-V43)</f>
        <v/>
      </c>
      <c r="W45" s="36">
        <f>MAX(0,W44-W43)</f>
        <v/>
      </c>
      <c r="X45" s="36">
        <f>MAX(0,X44-X43)</f>
        <v/>
      </c>
      <c r="Y45" s="36">
        <f>MAX(0,Y44-Y43)</f>
        <v/>
      </c>
      <c r="Z45" s="36">
        <f>MAX(0,Z44-Z43)</f>
        <v/>
      </c>
      <c r="AA45" s="36">
        <f>MAX(0,AA44-AA43)</f>
        <v/>
      </c>
      <c r="AB45" s="36">
        <f>MAX(0,AB44-AB43)</f>
        <v/>
      </c>
      <c r="AC45" s="36">
        <f>MAX(0,AC44-AC43)</f>
        <v/>
      </c>
      <c r="AD45" s="36">
        <f>MAX(0,AD44-AD43)</f>
        <v/>
      </c>
      <c r="AE45" s="36">
        <f>MAX(0,AE44-AE43)</f>
        <v/>
      </c>
      <c r="AF45" s="36">
        <f>MAX(0,AF44-AF43)</f>
        <v/>
      </c>
      <c r="AG45" s="36">
        <f>MAX(0,AG44-AG43)</f>
        <v/>
      </c>
      <c r="AH45" s="36">
        <f>MAX(0,AH44-AH43)</f>
        <v/>
      </c>
      <c r="AI45" s="36">
        <f>MAX(0,AI44-AI43)</f>
        <v/>
      </c>
      <c r="AJ45" s="36">
        <f>MAX(0,AJ44-AJ43)</f>
        <v/>
      </c>
      <c r="AK45" s="36">
        <f>MAX(0,AK44-AK43)</f>
        <v/>
      </c>
      <c r="AL45" s="36">
        <f>MAX(0,AL44-AL43)</f>
        <v/>
      </c>
      <c r="AM45" s="36">
        <f>MAX(0,AM44-AM43)</f>
        <v/>
      </c>
      <c r="AN45" s="36">
        <f>MAX(0,AN44-AN43)</f>
        <v/>
      </c>
      <c r="AO45" s="36">
        <f>MAX(0,AO44-AO43)</f>
        <v/>
      </c>
      <c r="AP45" s="36">
        <f>MAX(0,AP44-AP43)</f>
        <v/>
      </c>
      <c r="AQ45" s="36">
        <f>MAX(0,AQ44-AQ43)</f>
        <v/>
      </c>
      <c r="AR45" s="36">
        <f>MAX(0,AR44-AR43)</f>
        <v/>
      </c>
      <c r="AS45" s="36">
        <f>MAX(0,AS44-AS43)</f>
        <v/>
      </c>
      <c r="AT45" s="36">
        <f>MAX(0,AT44-AT43)</f>
        <v/>
      </c>
      <c r="AU45" s="36">
        <f>MAX(0,AU44-AU43)</f>
        <v/>
      </c>
      <c r="AV45" s="36">
        <f>MAX(0,AV44-AV43)</f>
        <v/>
      </c>
      <c r="AW45" s="36">
        <f>MAX(0,AW44-AW43)</f>
        <v/>
      </c>
      <c r="AX45" s="36">
        <f>MAX(0,AX44-AX43)</f>
        <v/>
      </c>
      <c r="AY45" s="36">
        <f>MAX(0,AY44-AY43)</f>
        <v/>
      </c>
      <c r="AZ45" s="36">
        <f>MAX(0,AZ44-AZ43)</f>
        <v/>
      </c>
      <c r="BA45" s="36">
        <f>MAX(0,BA44-BA43)</f>
        <v/>
      </c>
      <c r="BB45" s="36">
        <f>MAX(0,BB44-BB43)</f>
        <v/>
      </c>
      <c r="BC45" s="36">
        <f>MAX(0,BC44-BC43)</f>
        <v/>
      </c>
      <c r="BD45" s="36">
        <f>MAX(0,BD44-BD43)</f>
        <v/>
      </c>
      <c r="BE45" s="36">
        <f>MAX(0,BE44-BE43)</f>
        <v/>
      </c>
      <c r="BF45" s="36">
        <f>MAX(0,BF44-BF43)</f>
        <v/>
      </c>
      <c r="BG45" s="36">
        <f>MAX(0,BG44-BG43)</f>
        <v/>
      </c>
      <c r="BH45" s="36">
        <f>MAX(0,BH44-BH43)</f>
        <v/>
      </c>
      <c r="BI45" s="36">
        <f>MAX(0,BI44-BI43)</f>
        <v/>
      </c>
      <c r="BJ45" s="36">
        <f>MAX(0,BJ44-BJ43)</f>
        <v/>
      </c>
      <c r="BK45" s="36">
        <f>MAX(0,BK44-BK43)</f>
        <v/>
      </c>
      <c r="BL45" s="31" t="n"/>
    </row>
    <row r="46">
      <c r="A46" s="7" t="inlineStr">
        <is>
          <t>DIVIDENDO PAGADO</t>
        </is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24">
        <f>p_payout*MAX(0,MIN(AA43+AA45-2*AA44-Anual!$D$14,SUM(Anual!$C$15:$D$15)-SUM($D$46:Z$46)))</f>
        <v/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24">
        <f>p_payout*MAX(0,MIN(AM43+AM45-2*AM44-Anual!$E$14,SUM(Anual!$C$15:$E$15)-SUM($D$46:AL$46)))</f>
        <v/>
      </c>
      <c r="AN46" s="14" t="n">
        <v>0</v>
      </c>
      <c r="AO46" s="14" t="n">
        <v>0</v>
      </c>
      <c r="AP46" s="14" t="n">
        <v>0</v>
      </c>
      <c r="AQ46" s="14" t="n">
        <v>0</v>
      </c>
      <c r="AR46" s="14" t="n">
        <v>0</v>
      </c>
      <c r="AS46" s="14" t="n">
        <v>0</v>
      </c>
      <c r="AT46" s="14" t="n">
        <v>0</v>
      </c>
      <c r="AU46" s="14" t="n">
        <v>0</v>
      </c>
      <c r="AV46" s="14" t="n">
        <v>0</v>
      </c>
      <c r="AW46" s="14" t="n">
        <v>0</v>
      </c>
      <c r="AX46" s="14" t="n">
        <v>0</v>
      </c>
      <c r="AY46" s="24">
        <f>p_payout*MAX(0,MIN(AY43+AY45-2*AY44-Anual!$F$14,SUM(Anual!$C$15:$F$15)-SUM($D$46:AX$46)))</f>
        <v/>
      </c>
      <c r="AZ46" s="14" t="n">
        <v>0</v>
      </c>
      <c r="BA46" s="14" t="n">
        <v>0</v>
      </c>
      <c r="BB46" s="14" t="n">
        <v>0</v>
      </c>
      <c r="BC46" s="14" t="n">
        <v>0</v>
      </c>
      <c r="BD46" s="14" t="n">
        <v>0</v>
      </c>
      <c r="BE46" s="14" t="n">
        <v>0</v>
      </c>
      <c r="BF46" s="14" t="n">
        <v>0</v>
      </c>
      <c r="BG46" s="14" t="n">
        <v>0</v>
      </c>
      <c r="BH46" s="14" t="n">
        <v>0</v>
      </c>
      <c r="BI46" s="14" t="n">
        <v>0</v>
      </c>
      <c r="BJ46" s="14" t="n">
        <v>0</v>
      </c>
      <c r="BK46" s="14" t="n">
        <v>0</v>
      </c>
    </row>
    <row r="47">
      <c r="A47" s="9" t="inlineStr">
        <is>
          <t>Devolución de caja a los socios después de un cierre</t>
        </is>
      </c>
      <c r="D47" s="14">
        <f>IF(AND(D$3&gt;ROUND(p_stop_det,0)+3,D$3&lt;60),MAX(0,D43+D45-D46),0)</f>
        <v/>
      </c>
      <c r="E47" s="14">
        <f>IF(AND(E$3&gt;ROUND(p_stop_det,0)+3,E$3&lt;60),MAX(0,E43+E45-E46),0)</f>
        <v/>
      </c>
      <c r="F47" s="14">
        <f>IF(AND(F$3&gt;ROUND(p_stop_det,0)+3,F$3&lt;60),MAX(0,F43+F45-F46),0)</f>
        <v/>
      </c>
      <c r="G47" s="14">
        <f>IF(AND(G$3&gt;ROUND(p_stop_det,0)+3,G$3&lt;60),MAX(0,G43+G45-G46),0)</f>
        <v/>
      </c>
      <c r="H47" s="14">
        <f>IF(AND(H$3&gt;ROUND(p_stop_det,0)+3,H$3&lt;60),MAX(0,H43+H45-H46),0)</f>
        <v/>
      </c>
      <c r="I47" s="14">
        <f>IF(AND(I$3&gt;ROUND(p_stop_det,0)+3,I$3&lt;60),MAX(0,I43+I45-I46),0)</f>
        <v/>
      </c>
      <c r="J47" s="14">
        <f>IF(AND(J$3&gt;ROUND(p_stop_det,0)+3,J$3&lt;60),MAX(0,J43+J45-J46),0)</f>
        <v/>
      </c>
      <c r="K47" s="14">
        <f>IF(AND(K$3&gt;ROUND(p_stop_det,0)+3,K$3&lt;60),MAX(0,K43+K45-K46),0)</f>
        <v/>
      </c>
      <c r="L47" s="14">
        <f>IF(AND(L$3&gt;ROUND(p_stop_det,0)+3,L$3&lt;60),MAX(0,L43+L45-L46),0)</f>
        <v/>
      </c>
      <c r="M47" s="14">
        <f>IF(AND(M$3&gt;ROUND(p_stop_det,0)+3,M$3&lt;60),MAX(0,M43+M45-M46),0)</f>
        <v/>
      </c>
      <c r="N47" s="14">
        <f>IF(AND(N$3&gt;ROUND(p_stop_det,0)+3,N$3&lt;60),MAX(0,N43+N45-N46),0)</f>
        <v/>
      </c>
      <c r="O47" s="14">
        <f>IF(AND(O$3&gt;ROUND(p_stop_det,0)+3,O$3&lt;60),MAX(0,O43+O45-O46),0)</f>
        <v/>
      </c>
      <c r="P47" s="14">
        <f>IF(AND(P$3&gt;ROUND(p_stop_det,0)+3,P$3&lt;60),MAX(0,P43+P45-P46),0)</f>
        <v/>
      </c>
      <c r="Q47" s="14">
        <f>IF(AND(Q$3&gt;ROUND(p_stop_det,0)+3,Q$3&lt;60),MAX(0,Q43+Q45-Q46),0)</f>
        <v/>
      </c>
      <c r="R47" s="14">
        <f>IF(AND(R$3&gt;ROUND(p_stop_det,0)+3,R$3&lt;60),MAX(0,R43+R45-R46),0)</f>
        <v/>
      </c>
      <c r="S47" s="14">
        <f>IF(AND(S$3&gt;ROUND(p_stop_det,0)+3,S$3&lt;60),MAX(0,S43+S45-S46),0)</f>
        <v/>
      </c>
      <c r="T47" s="14">
        <f>IF(AND(T$3&gt;ROUND(p_stop_det,0)+3,T$3&lt;60),MAX(0,T43+T45-T46),0)</f>
        <v/>
      </c>
      <c r="U47" s="14">
        <f>IF(AND(U$3&gt;ROUND(p_stop_det,0)+3,U$3&lt;60),MAX(0,U43+U45-U46),0)</f>
        <v/>
      </c>
      <c r="V47" s="14">
        <f>IF(AND(V$3&gt;ROUND(p_stop_det,0)+3,V$3&lt;60),MAX(0,V43+V45-V46),0)</f>
        <v/>
      </c>
      <c r="W47" s="14">
        <f>IF(AND(W$3&gt;ROUND(p_stop_det,0)+3,W$3&lt;60),MAX(0,W43+W45-W46),0)</f>
        <v/>
      </c>
      <c r="X47" s="14">
        <f>IF(AND(X$3&gt;ROUND(p_stop_det,0)+3,X$3&lt;60),MAX(0,X43+X45-X46),0)</f>
        <v/>
      </c>
      <c r="Y47" s="14">
        <f>IF(AND(Y$3&gt;ROUND(p_stop_det,0)+3,Y$3&lt;60),MAX(0,Y43+Y45-Y46),0)</f>
        <v/>
      </c>
      <c r="Z47" s="14">
        <f>IF(AND(Z$3&gt;ROUND(p_stop_det,0)+3,Z$3&lt;60),MAX(0,Z43+Z45-Z46),0)</f>
        <v/>
      </c>
      <c r="AA47" s="14">
        <f>IF(AND(AA$3&gt;ROUND(p_stop_det,0)+3,AA$3&lt;60),MAX(0,AA43+AA45-AA46),0)</f>
        <v/>
      </c>
      <c r="AB47" s="14">
        <f>IF(AND(AB$3&gt;ROUND(p_stop_det,0)+3,AB$3&lt;60),MAX(0,AB43+AB45-AB46),0)</f>
        <v/>
      </c>
      <c r="AC47" s="14">
        <f>IF(AND(AC$3&gt;ROUND(p_stop_det,0)+3,AC$3&lt;60),MAX(0,AC43+AC45-AC46),0)</f>
        <v/>
      </c>
      <c r="AD47" s="14">
        <f>IF(AND(AD$3&gt;ROUND(p_stop_det,0)+3,AD$3&lt;60),MAX(0,AD43+AD45-AD46),0)</f>
        <v/>
      </c>
      <c r="AE47" s="14">
        <f>IF(AND(AE$3&gt;ROUND(p_stop_det,0)+3,AE$3&lt;60),MAX(0,AE43+AE45-AE46),0)</f>
        <v/>
      </c>
      <c r="AF47" s="14">
        <f>IF(AND(AF$3&gt;ROUND(p_stop_det,0)+3,AF$3&lt;60),MAX(0,AF43+AF45-AF46),0)</f>
        <v/>
      </c>
      <c r="AG47" s="14">
        <f>IF(AND(AG$3&gt;ROUND(p_stop_det,0)+3,AG$3&lt;60),MAX(0,AG43+AG45-AG46),0)</f>
        <v/>
      </c>
      <c r="AH47" s="14">
        <f>IF(AND(AH$3&gt;ROUND(p_stop_det,0)+3,AH$3&lt;60),MAX(0,AH43+AH45-AH46),0)</f>
        <v/>
      </c>
      <c r="AI47" s="14">
        <f>IF(AND(AI$3&gt;ROUND(p_stop_det,0)+3,AI$3&lt;60),MAX(0,AI43+AI45-AI46),0)</f>
        <v/>
      </c>
      <c r="AJ47" s="14">
        <f>IF(AND(AJ$3&gt;ROUND(p_stop_det,0)+3,AJ$3&lt;60),MAX(0,AJ43+AJ45-AJ46),0)</f>
        <v/>
      </c>
      <c r="AK47" s="14">
        <f>IF(AND(AK$3&gt;ROUND(p_stop_det,0)+3,AK$3&lt;60),MAX(0,AK43+AK45-AK46),0)</f>
        <v/>
      </c>
      <c r="AL47" s="14">
        <f>IF(AND(AL$3&gt;ROUND(p_stop_det,0)+3,AL$3&lt;60),MAX(0,AL43+AL45-AL46),0)</f>
        <v/>
      </c>
      <c r="AM47" s="14">
        <f>IF(AND(AM$3&gt;ROUND(p_stop_det,0)+3,AM$3&lt;60),MAX(0,AM43+AM45-AM46),0)</f>
        <v/>
      </c>
      <c r="AN47" s="14">
        <f>IF(AND(AN$3&gt;ROUND(p_stop_det,0)+3,AN$3&lt;60),MAX(0,AN43+AN45-AN46),0)</f>
        <v/>
      </c>
      <c r="AO47" s="14">
        <f>IF(AND(AO$3&gt;ROUND(p_stop_det,0)+3,AO$3&lt;60),MAX(0,AO43+AO45-AO46),0)</f>
        <v/>
      </c>
      <c r="AP47" s="14">
        <f>IF(AND(AP$3&gt;ROUND(p_stop_det,0)+3,AP$3&lt;60),MAX(0,AP43+AP45-AP46),0)</f>
        <v/>
      </c>
      <c r="AQ47" s="14">
        <f>IF(AND(AQ$3&gt;ROUND(p_stop_det,0)+3,AQ$3&lt;60),MAX(0,AQ43+AQ45-AQ46),0)</f>
        <v/>
      </c>
      <c r="AR47" s="14">
        <f>IF(AND(AR$3&gt;ROUND(p_stop_det,0)+3,AR$3&lt;60),MAX(0,AR43+AR45-AR46),0)</f>
        <v/>
      </c>
      <c r="AS47" s="14">
        <f>IF(AND(AS$3&gt;ROUND(p_stop_det,0)+3,AS$3&lt;60),MAX(0,AS43+AS45-AS46),0)</f>
        <v/>
      </c>
      <c r="AT47" s="14">
        <f>IF(AND(AT$3&gt;ROUND(p_stop_det,0)+3,AT$3&lt;60),MAX(0,AT43+AT45-AT46),0)</f>
        <v/>
      </c>
      <c r="AU47" s="14">
        <f>IF(AND(AU$3&gt;ROUND(p_stop_det,0)+3,AU$3&lt;60),MAX(0,AU43+AU45-AU46),0)</f>
        <v/>
      </c>
      <c r="AV47" s="14">
        <f>IF(AND(AV$3&gt;ROUND(p_stop_det,0)+3,AV$3&lt;60),MAX(0,AV43+AV45-AV46),0)</f>
        <v/>
      </c>
      <c r="AW47" s="14">
        <f>IF(AND(AW$3&gt;ROUND(p_stop_det,0)+3,AW$3&lt;60),MAX(0,AW43+AW45-AW46),0)</f>
        <v/>
      </c>
      <c r="AX47" s="14">
        <f>IF(AND(AX$3&gt;ROUND(p_stop_det,0)+3,AX$3&lt;60),MAX(0,AX43+AX45-AX46),0)</f>
        <v/>
      </c>
      <c r="AY47" s="14">
        <f>IF(AND(AY$3&gt;ROUND(p_stop_det,0)+3,AY$3&lt;60),MAX(0,AY43+AY45-AY46),0)</f>
        <v/>
      </c>
      <c r="AZ47" s="14">
        <f>IF(AND(AZ$3&gt;ROUND(p_stop_det,0)+3,AZ$3&lt;60),MAX(0,AZ43+AZ45-AZ46),0)</f>
        <v/>
      </c>
      <c r="BA47" s="14">
        <f>IF(AND(BA$3&gt;ROUND(p_stop_det,0)+3,BA$3&lt;60),MAX(0,BA43+BA45-BA46),0)</f>
        <v/>
      </c>
      <c r="BB47" s="14">
        <f>IF(AND(BB$3&gt;ROUND(p_stop_det,0)+3,BB$3&lt;60),MAX(0,BB43+BB45-BB46),0)</f>
        <v/>
      </c>
      <c r="BC47" s="14">
        <f>IF(AND(BC$3&gt;ROUND(p_stop_det,0)+3,BC$3&lt;60),MAX(0,BC43+BC45-BC46),0)</f>
        <v/>
      </c>
      <c r="BD47" s="14">
        <f>IF(AND(BD$3&gt;ROUND(p_stop_det,0)+3,BD$3&lt;60),MAX(0,BD43+BD45-BD46),0)</f>
        <v/>
      </c>
      <c r="BE47" s="14">
        <f>IF(AND(BE$3&gt;ROUND(p_stop_det,0)+3,BE$3&lt;60),MAX(0,BE43+BE45-BE46),0)</f>
        <v/>
      </c>
      <c r="BF47" s="14">
        <f>IF(AND(BF$3&gt;ROUND(p_stop_det,0)+3,BF$3&lt;60),MAX(0,BF43+BF45-BF46),0)</f>
        <v/>
      </c>
      <c r="BG47" s="14">
        <f>IF(AND(BG$3&gt;ROUND(p_stop_det,0)+3,BG$3&lt;60),MAX(0,BG43+BG45-BG46),0)</f>
        <v/>
      </c>
      <c r="BH47" s="14">
        <f>IF(AND(BH$3&gt;ROUND(p_stop_det,0)+3,BH$3&lt;60),MAX(0,BH43+BH45-BH46),0)</f>
        <v/>
      </c>
      <c r="BI47" s="14">
        <f>IF(AND(BI$3&gt;ROUND(p_stop_det,0)+3,BI$3&lt;60),MAX(0,BI43+BI45-BI46),0)</f>
        <v/>
      </c>
      <c r="BJ47" s="14">
        <f>IF(AND(BJ$3&gt;ROUND(p_stop_det,0)+3,BJ$3&lt;60),MAX(0,BJ43+BJ45-BJ46),0)</f>
        <v/>
      </c>
      <c r="BK47" s="14">
        <f>IF(AND(BK$3&gt;ROUND(p_stop_det,0)+3,BK$3&lt;60),MAX(0,BK43+BK45-BK46),0)</f>
        <v/>
      </c>
    </row>
    <row r="48">
      <c r="A48" s="9" t="inlineStr">
        <is>
          <t>Impuesto de dividendos sobre lo devuelto por encima de lo aportado</t>
        </is>
      </c>
      <c r="D48" s="14">
        <f>p_divtax*(MAX(0,SUM($D$47:D47)-SUM($D$45:D45))-MAX(0,SUM($C$47:C47)-SUM($D$45:D45)))</f>
        <v/>
      </c>
      <c r="E48" s="14">
        <f>p_divtax*(MAX(0,SUM($D$47:E47)-SUM($D$45:E45))-MAX(0,SUM($C$47:D47)-SUM($D$45:E45)))</f>
        <v/>
      </c>
      <c r="F48" s="14">
        <f>p_divtax*(MAX(0,SUM($D$47:F47)-SUM($D$45:F45))-MAX(0,SUM($C$47:E47)-SUM($D$45:F45)))</f>
        <v/>
      </c>
      <c r="G48" s="14">
        <f>p_divtax*(MAX(0,SUM($D$47:G47)-SUM($D$45:G45))-MAX(0,SUM($C$47:F47)-SUM($D$45:G45)))</f>
        <v/>
      </c>
      <c r="H48" s="14">
        <f>p_divtax*(MAX(0,SUM($D$47:H47)-SUM($D$45:H45))-MAX(0,SUM($C$47:G47)-SUM($D$45:H45)))</f>
        <v/>
      </c>
      <c r="I48" s="14">
        <f>p_divtax*(MAX(0,SUM($D$47:I47)-SUM($D$45:I45))-MAX(0,SUM($C$47:H47)-SUM($D$45:I45)))</f>
        <v/>
      </c>
      <c r="J48" s="14">
        <f>p_divtax*(MAX(0,SUM($D$47:J47)-SUM($D$45:J45))-MAX(0,SUM($C$47:I47)-SUM($D$45:J45)))</f>
        <v/>
      </c>
      <c r="K48" s="14">
        <f>p_divtax*(MAX(0,SUM($D$47:K47)-SUM($D$45:K45))-MAX(0,SUM($C$47:J47)-SUM($D$45:K45)))</f>
        <v/>
      </c>
      <c r="L48" s="14">
        <f>p_divtax*(MAX(0,SUM($D$47:L47)-SUM($D$45:L45))-MAX(0,SUM($C$47:K47)-SUM($D$45:L45)))</f>
        <v/>
      </c>
      <c r="M48" s="14">
        <f>p_divtax*(MAX(0,SUM($D$47:M47)-SUM($D$45:M45))-MAX(0,SUM($C$47:L47)-SUM($D$45:M45)))</f>
        <v/>
      </c>
      <c r="N48" s="14">
        <f>p_divtax*(MAX(0,SUM($D$47:N47)-SUM($D$45:N45))-MAX(0,SUM($C$47:M47)-SUM($D$45:N45)))</f>
        <v/>
      </c>
      <c r="O48" s="14">
        <f>p_divtax*(MAX(0,SUM($D$47:O47)-SUM($D$45:O45))-MAX(0,SUM($C$47:N47)-SUM($D$45:O45)))</f>
        <v/>
      </c>
      <c r="P48" s="14">
        <f>p_divtax*(MAX(0,SUM($D$47:P47)-SUM($D$45:P45))-MAX(0,SUM($C$47:O47)-SUM($D$45:P45)))</f>
        <v/>
      </c>
      <c r="Q48" s="14">
        <f>p_divtax*(MAX(0,SUM($D$47:Q47)-SUM($D$45:Q45))-MAX(0,SUM($C$47:P47)-SUM($D$45:Q45)))</f>
        <v/>
      </c>
      <c r="R48" s="14">
        <f>p_divtax*(MAX(0,SUM($D$47:R47)-SUM($D$45:R45))-MAX(0,SUM($C$47:Q47)-SUM($D$45:R45)))</f>
        <v/>
      </c>
      <c r="S48" s="14">
        <f>p_divtax*(MAX(0,SUM($D$47:S47)-SUM($D$45:S45))-MAX(0,SUM($C$47:R47)-SUM($D$45:S45)))</f>
        <v/>
      </c>
      <c r="T48" s="14">
        <f>p_divtax*(MAX(0,SUM($D$47:T47)-SUM($D$45:T45))-MAX(0,SUM($C$47:S47)-SUM($D$45:T45)))</f>
        <v/>
      </c>
      <c r="U48" s="14">
        <f>p_divtax*(MAX(0,SUM($D$47:U47)-SUM($D$45:U45))-MAX(0,SUM($C$47:T47)-SUM($D$45:U45)))</f>
        <v/>
      </c>
      <c r="V48" s="14">
        <f>p_divtax*(MAX(0,SUM($D$47:V47)-SUM($D$45:V45))-MAX(0,SUM($C$47:U47)-SUM($D$45:V45)))</f>
        <v/>
      </c>
      <c r="W48" s="14">
        <f>p_divtax*(MAX(0,SUM($D$47:W47)-SUM($D$45:W45))-MAX(0,SUM($C$47:V47)-SUM($D$45:W45)))</f>
        <v/>
      </c>
      <c r="X48" s="14">
        <f>p_divtax*(MAX(0,SUM($D$47:X47)-SUM($D$45:X45))-MAX(0,SUM($C$47:W47)-SUM($D$45:X45)))</f>
        <v/>
      </c>
      <c r="Y48" s="14">
        <f>p_divtax*(MAX(0,SUM($D$47:Y47)-SUM($D$45:Y45))-MAX(0,SUM($C$47:X47)-SUM($D$45:Y45)))</f>
        <v/>
      </c>
      <c r="Z48" s="14">
        <f>p_divtax*(MAX(0,SUM($D$47:Z47)-SUM($D$45:Z45))-MAX(0,SUM($C$47:Y47)-SUM($D$45:Z45)))</f>
        <v/>
      </c>
      <c r="AA48" s="14">
        <f>p_divtax*(MAX(0,SUM($D$47:AA47)-SUM($D$45:AA45))-MAX(0,SUM($C$47:Z47)-SUM($D$45:AA45)))</f>
        <v/>
      </c>
      <c r="AB48" s="14">
        <f>p_divtax*(MAX(0,SUM($D$47:AB47)-SUM($D$45:AB45))-MAX(0,SUM($C$47:AA47)-SUM($D$45:AB45)))</f>
        <v/>
      </c>
      <c r="AC48" s="14">
        <f>p_divtax*(MAX(0,SUM($D$47:AC47)-SUM($D$45:AC45))-MAX(0,SUM($C$47:AB47)-SUM($D$45:AC45)))</f>
        <v/>
      </c>
      <c r="AD48" s="14">
        <f>p_divtax*(MAX(0,SUM($D$47:AD47)-SUM($D$45:AD45))-MAX(0,SUM($C$47:AC47)-SUM($D$45:AD45)))</f>
        <v/>
      </c>
      <c r="AE48" s="14">
        <f>p_divtax*(MAX(0,SUM($D$47:AE47)-SUM($D$45:AE45))-MAX(0,SUM($C$47:AD47)-SUM($D$45:AE45)))</f>
        <v/>
      </c>
      <c r="AF48" s="14">
        <f>p_divtax*(MAX(0,SUM($D$47:AF47)-SUM($D$45:AF45))-MAX(0,SUM($C$47:AE47)-SUM($D$45:AF45)))</f>
        <v/>
      </c>
      <c r="AG48" s="14">
        <f>p_divtax*(MAX(0,SUM($D$47:AG47)-SUM($D$45:AG45))-MAX(0,SUM($C$47:AF47)-SUM($D$45:AG45)))</f>
        <v/>
      </c>
      <c r="AH48" s="14">
        <f>p_divtax*(MAX(0,SUM($D$47:AH47)-SUM($D$45:AH45))-MAX(0,SUM($C$47:AG47)-SUM($D$45:AH45)))</f>
        <v/>
      </c>
      <c r="AI48" s="14">
        <f>p_divtax*(MAX(0,SUM($D$47:AI47)-SUM($D$45:AI45))-MAX(0,SUM($C$47:AH47)-SUM($D$45:AI45)))</f>
        <v/>
      </c>
      <c r="AJ48" s="14">
        <f>p_divtax*(MAX(0,SUM($D$47:AJ47)-SUM($D$45:AJ45))-MAX(0,SUM($C$47:AI47)-SUM($D$45:AJ45)))</f>
        <v/>
      </c>
      <c r="AK48" s="14">
        <f>p_divtax*(MAX(0,SUM($D$47:AK47)-SUM($D$45:AK45))-MAX(0,SUM($C$47:AJ47)-SUM($D$45:AK45)))</f>
        <v/>
      </c>
      <c r="AL48" s="14">
        <f>p_divtax*(MAX(0,SUM($D$47:AL47)-SUM($D$45:AL45))-MAX(0,SUM($C$47:AK47)-SUM($D$45:AL45)))</f>
        <v/>
      </c>
      <c r="AM48" s="14">
        <f>p_divtax*(MAX(0,SUM($D$47:AM47)-SUM($D$45:AM45))-MAX(0,SUM($C$47:AL47)-SUM($D$45:AM45)))</f>
        <v/>
      </c>
      <c r="AN48" s="14">
        <f>p_divtax*(MAX(0,SUM($D$47:AN47)-SUM($D$45:AN45))-MAX(0,SUM($C$47:AM47)-SUM($D$45:AN45)))</f>
        <v/>
      </c>
      <c r="AO48" s="14">
        <f>p_divtax*(MAX(0,SUM($D$47:AO47)-SUM($D$45:AO45))-MAX(0,SUM($C$47:AN47)-SUM($D$45:AO45)))</f>
        <v/>
      </c>
      <c r="AP48" s="14">
        <f>p_divtax*(MAX(0,SUM($D$47:AP47)-SUM($D$45:AP45))-MAX(0,SUM($C$47:AO47)-SUM($D$45:AP45)))</f>
        <v/>
      </c>
      <c r="AQ48" s="14">
        <f>p_divtax*(MAX(0,SUM($D$47:AQ47)-SUM($D$45:AQ45))-MAX(0,SUM($C$47:AP47)-SUM($D$45:AQ45)))</f>
        <v/>
      </c>
      <c r="AR48" s="14">
        <f>p_divtax*(MAX(0,SUM($D$47:AR47)-SUM($D$45:AR45))-MAX(0,SUM($C$47:AQ47)-SUM($D$45:AR45)))</f>
        <v/>
      </c>
      <c r="AS48" s="14">
        <f>p_divtax*(MAX(0,SUM($D$47:AS47)-SUM($D$45:AS45))-MAX(0,SUM($C$47:AR47)-SUM($D$45:AS45)))</f>
        <v/>
      </c>
      <c r="AT48" s="14">
        <f>p_divtax*(MAX(0,SUM($D$47:AT47)-SUM($D$45:AT45))-MAX(0,SUM($C$47:AS47)-SUM($D$45:AT45)))</f>
        <v/>
      </c>
      <c r="AU48" s="14">
        <f>p_divtax*(MAX(0,SUM($D$47:AU47)-SUM($D$45:AU45))-MAX(0,SUM($C$47:AT47)-SUM($D$45:AU45)))</f>
        <v/>
      </c>
      <c r="AV48" s="14">
        <f>p_divtax*(MAX(0,SUM($D$47:AV47)-SUM($D$45:AV45))-MAX(0,SUM($C$47:AU47)-SUM($D$45:AV45)))</f>
        <v/>
      </c>
      <c r="AW48" s="14">
        <f>p_divtax*(MAX(0,SUM($D$47:AW47)-SUM($D$45:AW45))-MAX(0,SUM($C$47:AV47)-SUM($D$45:AW45)))</f>
        <v/>
      </c>
      <c r="AX48" s="14">
        <f>p_divtax*(MAX(0,SUM($D$47:AX47)-SUM($D$45:AX45))-MAX(0,SUM($C$47:AW47)-SUM($D$45:AX45)))</f>
        <v/>
      </c>
      <c r="AY48" s="14">
        <f>p_divtax*(MAX(0,SUM($D$47:AY47)-SUM($D$45:AY45))-MAX(0,SUM($C$47:AX47)-SUM($D$45:AY45)))</f>
        <v/>
      </c>
      <c r="AZ48" s="14">
        <f>p_divtax*(MAX(0,SUM($D$47:AZ47)-SUM($D$45:AZ45))-MAX(0,SUM($C$47:AY47)-SUM($D$45:AZ45)))</f>
        <v/>
      </c>
      <c r="BA48" s="14">
        <f>p_divtax*(MAX(0,SUM($D$47:BA47)-SUM($D$45:BA45))-MAX(0,SUM($C$47:AZ47)-SUM($D$45:BA45)))</f>
        <v/>
      </c>
      <c r="BB48" s="14">
        <f>p_divtax*(MAX(0,SUM($D$47:BB47)-SUM($D$45:BB45))-MAX(0,SUM($C$47:BA47)-SUM($D$45:BB45)))</f>
        <v/>
      </c>
      <c r="BC48" s="14">
        <f>p_divtax*(MAX(0,SUM($D$47:BC47)-SUM($D$45:BC45))-MAX(0,SUM($C$47:BB47)-SUM($D$45:BC45)))</f>
        <v/>
      </c>
      <c r="BD48" s="14">
        <f>p_divtax*(MAX(0,SUM($D$47:BD47)-SUM($D$45:BD45))-MAX(0,SUM($C$47:BC47)-SUM($D$45:BD45)))</f>
        <v/>
      </c>
      <c r="BE48" s="14">
        <f>p_divtax*(MAX(0,SUM($D$47:BE47)-SUM($D$45:BE45))-MAX(0,SUM($C$47:BD47)-SUM($D$45:BE45)))</f>
        <v/>
      </c>
      <c r="BF48" s="14">
        <f>p_divtax*(MAX(0,SUM($D$47:BF47)-SUM($D$45:BF45))-MAX(0,SUM($C$47:BE47)-SUM($D$45:BF45)))</f>
        <v/>
      </c>
      <c r="BG48" s="14">
        <f>p_divtax*(MAX(0,SUM($D$47:BG47)-SUM($D$45:BG45))-MAX(0,SUM($C$47:BF47)-SUM($D$45:BG45)))</f>
        <v/>
      </c>
      <c r="BH48" s="14">
        <f>p_divtax*(MAX(0,SUM($D$47:BH47)-SUM($D$45:BH45))-MAX(0,SUM($C$47:BG47)-SUM($D$45:BH45)))</f>
        <v/>
      </c>
      <c r="BI48" s="14">
        <f>p_divtax*(MAX(0,SUM($D$47:BI47)-SUM($D$45:BI45))-MAX(0,SUM($C$47:BH47)-SUM($D$45:BI45)))</f>
        <v/>
      </c>
      <c r="BJ48" s="14">
        <f>p_divtax*(MAX(0,SUM($D$47:BJ47)-SUM($D$45:BJ45))-MAX(0,SUM($C$47:BI47)-SUM($D$45:BJ45)))</f>
        <v/>
      </c>
      <c r="BK48" s="14">
        <f>p_divtax*(MAX(0,SUM($D$47:BK47)-SUM($D$45:BK45))-MAX(0,SUM($C$47:BJ47)-SUM($D$45:BK45)))</f>
        <v/>
      </c>
    </row>
    <row r="49">
      <c r="A49" s="35" t="inlineStr">
        <is>
          <t>CAJA AL CIERRE</t>
        </is>
      </c>
      <c r="B49" s="31" t="n"/>
      <c r="C49" s="38" t="n">
        <v>0</v>
      </c>
      <c r="D49" s="36">
        <f>D43+D45-D46-D47</f>
        <v/>
      </c>
      <c r="E49" s="36">
        <f>E43+E45-E46-E47</f>
        <v/>
      </c>
      <c r="F49" s="36">
        <f>F43+F45-F46-F47</f>
        <v/>
      </c>
      <c r="G49" s="36">
        <f>G43+G45-G46-G47</f>
        <v/>
      </c>
      <c r="H49" s="36">
        <f>H43+H45-H46-H47</f>
        <v/>
      </c>
      <c r="I49" s="36">
        <f>I43+I45-I46-I47</f>
        <v/>
      </c>
      <c r="J49" s="36">
        <f>J43+J45-J46-J47</f>
        <v/>
      </c>
      <c r="K49" s="36">
        <f>K43+K45-K46-K47</f>
        <v/>
      </c>
      <c r="L49" s="36">
        <f>L43+L45-L46-L47</f>
        <v/>
      </c>
      <c r="M49" s="36">
        <f>M43+M45-M46-M47</f>
        <v/>
      </c>
      <c r="N49" s="36">
        <f>N43+N45-N46-N47</f>
        <v/>
      </c>
      <c r="O49" s="36">
        <f>O43+O45-O46-O47</f>
        <v/>
      </c>
      <c r="P49" s="36">
        <f>P43+P45-P46-P47</f>
        <v/>
      </c>
      <c r="Q49" s="36">
        <f>Q43+Q45-Q46-Q47</f>
        <v/>
      </c>
      <c r="R49" s="36">
        <f>R43+R45-R46-R47</f>
        <v/>
      </c>
      <c r="S49" s="36">
        <f>S43+S45-S46-S47</f>
        <v/>
      </c>
      <c r="T49" s="36">
        <f>T43+T45-T46-T47</f>
        <v/>
      </c>
      <c r="U49" s="36">
        <f>U43+U45-U46-U47</f>
        <v/>
      </c>
      <c r="V49" s="36">
        <f>V43+V45-V46-V47</f>
        <v/>
      </c>
      <c r="W49" s="36">
        <f>W43+W45-W46-W47</f>
        <v/>
      </c>
      <c r="X49" s="36">
        <f>X43+X45-X46-X47</f>
        <v/>
      </c>
      <c r="Y49" s="36">
        <f>Y43+Y45-Y46-Y47</f>
        <v/>
      </c>
      <c r="Z49" s="36">
        <f>Z43+Z45-Z46-Z47</f>
        <v/>
      </c>
      <c r="AA49" s="36">
        <f>AA43+AA45-AA46-AA47</f>
        <v/>
      </c>
      <c r="AB49" s="36">
        <f>AB43+AB45-AB46-AB47</f>
        <v/>
      </c>
      <c r="AC49" s="36">
        <f>AC43+AC45-AC46-AC47</f>
        <v/>
      </c>
      <c r="AD49" s="36">
        <f>AD43+AD45-AD46-AD47</f>
        <v/>
      </c>
      <c r="AE49" s="36">
        <f>AE43+AE45-AE46-AE47</f>
        <v/>
      </c>
      <c r="AF49" s="36">
        <f>AF43+AF45-AF46-AF47</f>
        <v/>
      </c>
      <c r="AG49" s="36">
        <f>AG43+AG45-AG46-AG47</f>
        <v/>
      </c>
      <c r="AH49" s="36">
        <f>AH43+AH45-AH46-AH47</f>
        <v/>
      </c>
      <c r="AI49" s="36">
        <f>AI43+AI45-AI46-AI47</f>
        <v/>
      </c>
      <c r="AJ49" s="36">
        <f>AJ43+AJ45-AJ46-AJ47</f>
        <v/>
      </c>
      <c r="AK49" s="36">
        <f>AK43+AK45-AK46-AK47</f>
        <v/>
      </c>
      <c r="AL49" s="36">
        <f>AL43+AL45-AL46-AL47</f>
        <v/>
      </c>
      <c r="AM49" s="36">
        <f>AM43+AM45-AM46-AM47</f>
        <v/>
      </c>
      <c r="AN49" s="36">
        <f>AN43+AN45-AN46-AN47</f>
        <v/>
      </c>
      <c r="AO49" s="36">
        <f>AO43+AO45-AO46-AO47</f>
        <v/>
      </c>
      <c r="AP49" s="36">
        <f>AP43+AP45-AP46-AP47</f>
        <v/>
      </c>
      <c r="AQ49" s="36">
        <f>AQ43+AQ45-AQ46-AQ47</f>
        <v/>
      </c>
      <c r="AR49" s="36">
        <f>AR43+AR45-AR46-AR47</f>
        <v/>
      </c>
      <c r="AS49" s="36">
        <f>AS43+AS45-AS46-AS47</f>
        <v/>
      </c>
      <c r="AT49" s="36">
        <f>AT43+AT45-AT46-AT47</f>
        <v/>
      </c>
      <c r="AU49" s="36">
        <f>AU43+AU45-AU46-AU47</f>
        <v/>
      </c>
      <c r="AV49" s="36">
        <f>AV43+AV45-AV46-AV47</f>
        <v/>
      </c>
      <c r="AW49" s="36">
        <f>AW43+AW45-AW46-AW47</f>
        <v/>
      </c>
      <c r="AX49" s="36">
        <f>AX43+AX45-AX46-AX47</f>
        <v/>
      </c>
      <c r="AY49" s="36">
        <f>AY43+AY45-AY46-AY47</f>
        <v/>
      </c>
      <c r="AZ49" s="36">
        <f>AZ43+AZ45-AZ46-AZ47</f>
        <v/>
      </c>
      <c r="BA49" s="36">
        <f>BA43+BA45-BA46-BA47</f>
        <v/>
      </c>
      <c r="BB49" s="36">
        <f>BB43+BB45-BB46-BB47</f>
        <v/>
      </c>
      <c r="BC49" s="36">
        <f>BC43+BC45-BC46-BC47</f>
        <v/>
      </c>
      <c r="BD49" s="36">
        <f>BD43+BD45-BD46-BD47</f>
        <v/>
      </c>
      <c r="BE49" s="36">
        <f>BE43+BE45-BE46-BE47</f>
        <v/>
      </c>
      <c r="BF49" s="36">
        <f>BF43+BF45-BF46-BF47</f>
        <v/>
      </c>
      <c r="BG49" s="36">
        <f>BG43+BG45-BG46-BG47</f>
        <v/>
      </c>
      <c r="BH49" s="36">
        <f>BH43+BH45-BH46-BH47</f>
        <v/>
      </c>
      <c r="BI49" s="36">
        <f>BI43+BI45-BI46-BI47</f>
        <v/>
      </c>
      <c r="BJ49" s="36">
        <f>BJ43+BJ45-BJ46-BJ47</f>
        <v/>
      </c>
      <c r="BK49" s="36">
        <f>BK43+BK45-BK46-BK47</f>
        <v/>
      </c>
      <c r="BL49" s="31" t="n"/>
    </row>
    <row r="50">
      <c r="A50" s="9" t="inlineStr">
        <is>
          <t>FLUJO DE LOS ACCIONISTAS (sin valor terminal)</t>
        </is>
      </c>
      <c r="C50" s="14">
        <f>-c_phase0</f>
        <v/>
      </c>
      <c r="D50" s="14">
        <f>-D45+D46*(1-p_divtax)+D47-D48</f>
        <v/>
      </c>
      <c r="E50" s="14">
        <f>-E45+E46*(1-p_divtax)+E47-E48</f>
        <v/>
      </c>
      <c r="F50" s="14">
        <f>-F45+F46*(1-p_divtax)+F47-F48</f>
        <v/>
      </c>
      <c r="G50" s="14">
        <f>-G45+G46*(1-p_divtax)+G47-G48</f>
        <v/>
      </c>
      <c r="H50" s="14">
        <f>-H45+H46*(1-p_divtax)+H47-H48</f>
        <v/>
      </c>
      <c r="I50" s="14">
        <f>-I45+I46*(1-p_divtax)+I47-I48</f>
        <v/>
      </c>
      <c r="J50" s="14">
        <f>-J45+J46*(1-p_divtax)+J47-J48</f>
        <v/>
      </c>
      <c r="K50" s="14">
        <f>-K45+K46*(1-p_divtax)+K47-K48</f>
        <v/>
      </c>
      <c r="L50" s="14">
        <f>-L45+L46*(1-p_divtax)+L47-L48</f>
        <v/>
      </c>
      <c r="M50" s="14">
        <f>-M45+M46*(1-p_divtax)+M47-M48</f>
        <v/>
      </c>
      <c r="N50" s="14">
        <f>-N45+N46*(1-p_divtax)+N47-N48</f>
        <v/>
      </c>
      <c r="O50" s="14">
        <f>-O45+O46*(1-p_divtax)+O47-O48</f>
        <v/>
      </c>
      <c r="P50" s="14">
        <f>-P45+P46*(1-p_divtax)+P47-P48</f>
        <v/>
      </c>
      <c r="Q50" s="14">
        <f>-Q45+Q46*(1-p_divtax)+Q47-Q48</f>
        <v/>
      </c>
      <c r="R50" s="14">
        <f>-R45+R46*(1-p_divtax)+R47-R48</f>
        <v/>
      </c>
      <c r="S50" s="14">
        <f>-S45+S46*(1-p_divtax)+S47-S48</f>
        <v/>
      </c>
      <c r="T50" s="14">
        <f>-T45+T46*(1-p_divtax)+T47-T48</f>
        <v/>
      </c>
      <c r="U50" s="14">
        <f>-U45+U46*(1-p_divtax)+U47-U48</f>
        <v/>
      </c>
      <c r="V50" s="14">
        <f>-V45+V46*(1-p_divtax)+V47-V48</f>
        <v/>
      </c>
      <c r="W50" s="14">
        <f>-W45+W46*(1-p_divtax)+W47-W48</f>
        <v/>
      </c>
      <c r="X50" s="14">
        <f>-X45+X46*(1-p_divtax)+X47-X48</f>
        <v/>
      </c>
      <c r="Y50" s="14">
        <f>-Y45+Y46*(1-p_divtax)+Y47-Y48</f>
        <v/>
      </c>
      <c r="Z50" s="14">
        <f>-Z45+Z46*(1-p_divtax)+Z47-Z48</f>
        <v/>
      </c>
      <c r="AA50" s="14">
        <f>-AA45+AA46*(1-p_divtax)+AA47-AA48</f>
        <v/>
      </c>
      <c r="AB50" s="14">
        <f>-AB45+AB46*(1-p_divtax)+AB47-AB48</f>
        <v/>
      </c>
      <c r="AC50" s="14">
        <f>-AC45+AC46*(1-p_divtax)+AC47-AC48</f>
        <v/>
      </c>
      <c r="AD50" s="14">
        <f>-AD45+AD46*(1-p_divtax)+AD47-AD48</f>
        <v/>
      </c>
      <c r="AE50" s="14">
        <f>-AE45+AE46*(1-p_divtax)+AE47-AE48</f>
        <v/>
      </c>
      <c r="AF50" s="14">
        <f>-AF45+AF46*(1-p_divtax)+AF47-AF48</f>
        <v/>
      </c>
      <c r="AG50" s="14">
        <f>-AG45+AG46*(1-p_divtax)+AG47-AG48</f>
        <v/>
      </c>
      <c r="AH50" s="14">
        <f>-AH45+AH46*(1-p_divtax)+AH47-AH48</f>
        <v/>
      </c>
      <c r="AI50" s="14">
        <f>-AI45+AI46*(1-p_divtax)+AI47-AI48</f>
        <v/>
      </c>
      <c r="AJ50" s="14">
        <f>-AJ45+AJ46*(1-p_divtax)+AJ47-AJ48</f>
        <v/>
      </c>
      <c r="AK50" s="14">
        <f>-AK45+AK46*(1-p_divtax)+AK47-AK48</f>
        <v/>
      </c>
      <c r="AL50" s="14">
        <f>-AL45+AL46*(1-p_divtax)+AL47-AL48</f>
        <v/>
      </c>
      <c r="AM50" s="14">
        <f>-AM45+AM46*(1-p_divtax)+AM47-AM48</f>
        <v/>
      </c>
      <c r="AN50" s="14">
        <f>-AN45+AN46*(1-p_divtax)+AN47-AN48</f>
        <v/>
      </c>
      <c r="AO50" s="14">
        <f>-AO45+AO46*(1-p_divtax)+AO47-AO48</f>
        <v/>
      </c>
      <c r="AP50" s="14">
        <f>-AP45+AP46*(1-p_divtax)+AP47-AP48</f>
        <v/>
      </c>
      <c r="AQ50" s="14">
        <f>-AQ45+AQ46*(1-p_divtax)+AQ47-AQ48</f>
        <v/>
      </c>
      <c r="AR50" s="14">
        <f>-AR45+AR46*(1-p_divtax)+AR47-AR48</f>
        <v/>
      </c>
      <c r="AS50" s="14">
        <f>-AS45+AS46*(1-p_divtax)+AS47-AS48</f>
        <v/>
      </c>
      <c r="AT50" s="14">
        <f>-AT45+AT46*(1-p_divtax)+AT47-AT48</f>
        <v/>
      </c>
      <c r="AU50" s="14">
        <f>-AU45+AU46*(1-p_divtax)+AU47-AU48</f>
        <v/>
      </c>
      <c r="AV50" s="14">
        <f>-AV45+AV46*(1-p_divtax)+AV47-AV48</f>
        <v/>
      </c>
      <c r="AW50" s="14">
        <f>-AW45+AW46*(1-p_divtax)+AW47-AW48</f>
        <v/>
      </c>
      <c r="AX50" s="14">
        <f>-AX45+AX46*(1-p_divtax)+AX47-AX48</f>
        <v/>
      </c>
      <c r="AY50" s="14">
        <f>-AY45+AY46*(1-p_divtax)+AY47-AY48</f>
        <v/>
      </c>
      <c r="AZ50" s="14">
        <f>-AZ45+AZ46*(1-p_divtax)+AZ47-AZ48</f>
        <v/>
      </c>
      <c r="BA50" s="14">
        <f>-BA45+BA46*(1-p_divtax)+BA47-BA48</f>
        <v/>
      </c>
      <c r="BB50" s="14">
        <f>-BB45+BB46*(1-p_divtax)+BB47-BB48</f>
        <v/>
      </c>
      <c r="BC50" s="14">
        <f>-BC45+BC46*(1-p_divtax)+BC47-BC48</f>
        <v/>
      </c>
      <c r="BD50" s="14">
        <f>-BD45+BD46*(1-p_divtax)+BD47-BD48</f>
        <v/>
      </c>
      <c r="BE50" s="14">
        <f>-BE45+BE46*(1-p_divtax)+BE47-BE48</f>
        <v/>
      </c>
      <c r="BF50" s="14">
        <f>-BF45+BF46*(1-p_divtax)+BF47-BF48</f>
        <v/>
      </c>
      <c r="BG50" s="14">
        <f>-BG45+BG46*(1-p_divtax)+BG47-BG48</f>
        <v/>
      </c>
      <c r="BH50" s="14">
        <f>-BH45+BH46*(1-p_divtax)+BH47-BH48</f>
        <v/>
      </c>
      <c r="BI50" s="14">
        <f>-BI45+BI46*(1-p_divtax)+BI47-BI48</f>
        <v/>
      </c>
      <c r="BJ50" s="14">
        <f>-BJ45+BJ46*(1-p_divtax)+BJ47-BJ48</f>
        <v/>
      </c>
      <c r="BK50" s="14">
        <f>-BK45+BK46*(1-p_divtax)+BK47-BK48</f>
        <v/>
      </c>
    </row>
    <row r="52">
      <c r="A52" s="10" t="inlineStr">
        <is>
          <t>La columna del mes 61 solo sirve para mirar el costo del mes siguiente al fijar el inventario del mes 60.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6" t="inlineStr">
        <is>
          <t>Estado de resultados e impuestos (B/.)</t>
        </is>
      </c>
    </row>
    <row r="3">
      <c r="B3" s="11" t="inlineStr">
        <is>
          <t>Concepto</t>
        </is>
      </c>
      <c r="C3" s="11" t="inlineStr">
        <is>
          <t>Año 1</t>
        </is>
      </c>
      <c r="D3" s="11" t="inlineStr">
        <is>
          <t>Año 2</t>
        </is>
      </c>
      <c r="E3" s="11" t="inlineStr">
        <is>
          <t>Año 3</t>
        </is>
      </c>
      <c r="F3" s="11" t="inlineStr">
        <is>
          <t>Año 4</t>
        </is>
      </c>
      <c r="G3" s="11" t="inlineStr">
        <is>
          <t>Año 5</t>
        </is>
      </c>
      <c r="H3" s="11" t="inlineStr">
        <is>
          <t>Total</t>
        </is>
      </c>
    </row>
    <row r="4">
      <c r="B4" s="7" t="inlineStr">
        <is>
          <t>Ventas</t>
        </is>
      </c>
      <c r="C4" s="37">
        <f>SUM(Mensual!D17:O17)</f>
        <v/>
      </c>
      <c r="D4" s="37">
        <f>SUM(Mensual!P17:AA17)</f>
        <v/>
      </c>
      <c r="E4" s="37">
        <f>SUM(Mensual!AB17:AM17)</f>
        <v/>
      </c>
      <c r="F4" s="37">
        <f>SUM(Mensual!AN17:AY17)</f>
        <v/>
      </c>
      <c r="G4" s="37">
        <f>SUM(Mensual!AZ17:BK17)</f>
        <v/>
      </c>
      <c r="H4" s="24">
        <f>SUM(C4:G4)</f>
        <v/>
      </c>
    </row>
    <row r="5">
      <c r="B5" s="9" t="inlineStr">
        <is>
          <t>Costo de ventas (incl. mermas)</t>
        </is>
      </c>
      <c r="C5" s="37">
        <f>-SUM(Mensual!D20:O20)*(1+p_expiry)</f>
        <v/>
      </c>
      <c r="D5" s="37">
        <f>-SUM(Mensual!P20:AA20)*(1+p_expiry)</f>
        <v/>
      </c>
      <c r="E5" s="37">
        <f>-SUM(Mensual!AB20:AM20)*(1+p_expiry)</f>
        <v/>
      </c>
      <c r="F5" s="37">
        <f>-SUM(Mensual!AN20:AY20)*(1+p_expiry)</f>
        <v/>
      </c>
      <c r="G5" s="37">
        <f>-SUM(Mensual!AZ20:BK20)*(1+p_expiry)</f>
        <v/>
      </c>
      <c r="H5" s="24">
        <f>SUM(C5:G5)</f>
        <v/>
      </c>
    </row>
    <row r="6">
      <c r="B6" s="9" t="inlineStr">
        <is>
          <t>Gastos variables, incobrables y factoring</t>
        </is>
      </c>
      <c r="C6" s="37">
        <f>-(SUM(Mensual!D27:O27)+SUM(Mensual!D17:O17)*p_baddebt+SUM(Mensual!D38:O38))</f>
        <v/>
      </c>
      <c r="D6" s="37">
        <f>-(SUM(Mensual!P27:AA27)+SUM(Mensual!P17:AA17)*p_baddebt+SUM(Mensual!P38:AA38))</f>
        <v/>
      </c>
      <c r="E6" s="37">
        <f>-(SUM(Mensual!AB27:AM27)+SUM(Mensual!AB17:AM17)*p_baddebt+SUM(Mensual!AB38:AM38))</f>
        <v/>
      </c>
      <c r="F6" s="37">
        <f>-(SUM(Mensual!AN27:AY27)+SUM(Mensual!AN17:AY17)*p_baddebt+SUM(Mensual!AN38:AY38))</f>
        <v/>
      </c>
      <c r="G6" s="37">
        <f>-(SUM(Mensual!AZ27:BK27)+SUM(Mensual!AZ17:BK17)*p_baddebt+SUM(Mensual!AZ38:BK38))</f>
        <v/>
      </c>
      <c r="H6" s="24">
        <f>SUM(C6:G6)</f>
        <v/>
      </c>
    </row>
    <row r="7">
      <c r="B7" s="9" t="inlineStr">
        <is>
          <t>Costos fijos y cargos anuales</t>
        </is>
      </c>
      <c r="C7" s="37">
        <f>-(SUM(Mensual!D28:O28)+SUM(Mensual!D32:O32))</f>
        <v/>
      </c>
      <c r="D7" s="37">
        <f>-(SUM(Mensual!P28:AA28)+SUM(Mensual!P32:AA32))</f>
        <v/>
      </c>
      <c r="E7" s="37">
        <f>-(SUM(Mensual!AB28:AM28)+SUM(Mensual!AB32:AM32))</f>
        <v/>
      </c>
      <c r="F7" s="37">
        <f>-(SUM(Mensual!AN28:AY28)+SUM(Mensual!AN32:AY32))</f>
        <v/>
      </c>
      <c r="G7" s="37">
        <f>-(SUM(Mensual!AZ28:BK28)+SUM(Mensual!AZ32:BK32))</f>
        <v/>
      </c>
      <c r="H7" s="24">
        <f>SUM(C7:G7)</f>
        <v/>
      </c>
    </row>
    <row r="8">
      <c r="B8" s="9" t="inlineStr">
        <is>
          <t>Arranque y registros sanitarios</t>
        </is>
      </c>
      <c r="C8" s="37">
        <f>-(SUM(Mensual!D30:O30)+SUM(Mensual!D31:O31))</f>
        <v/>
      </c>
      <c r="D8" s="37">
        <f>-(SUM(Mensual!P30:AA30)+SUM(Mensual!P31:AA31))</f>
        <v/>
      </c>
      <c r="E8" s="37">
        <f>-(SUM(Mensual!AB30:AM30)+SUM(Mensual!AB31:AM31))</f>
        <v/>
      </c>
      <c r="F8" s="37">
        <f>-(SUM(Mensual!AN30:AY30)+SUM(Mensual!AN31:AY31))</f>
        <v/>
      </c>
      <c r="G8" s="37">
        <f>-(SUM(Mensual!AZ30:BK30)+SUM(Mensual!AZ31:BK31))</f>
        <v/>
      </c>
      <c r="H8" s="24">
        <f>SUM(C8:G8)</f>
        <v/>
      </c>
    </row>
    <row r="9">
      <c r="B9" s="9" t="inlineStr">
        <is>
          <t>Fianzas, posregistro y pérdidas por cierre</t>
        </is>
      </c>
      <c r="C9" s="37">
        <f>-(SUM(Mensual!D37:O37)+SUM(Mensual!D29:O29)+SUM(Mensual!D39:O39))</f>
        <v/>
      </c>
      <c r="D9" s="37">
        <f>-(SUM(Mensual!P37:AA37)+SUM(Mensual!P29:AA29)+SUM(Mensual!P39:AA39))</f>
        <v/>
      </c>
      <c r="E9" s="37">
        <f>-(SUM(Mensual!AB37:AM37)+SUM(Mensual!AB29:AM29)+SUM(Mensual!AB39:AM39))</f>
        <v/>
      </c>
      <c r="F9" s="37">
        <f>-(SUM(Mensual!AN37:AY37)+SUM(Mensual!AN29:AY29)+SUM(Mensual!AN39:AY39))</f>
        <v/>
      </c>
      <c r="G9" s="37">
        <f>-(SUM(Mensual!AZ37:BK37)+SUM(Mensual!AZ29:BK29)+SUM(Mensual!AZ39:BK39))</f>
        <v/>
      </c>
      <c r="H9" s="24">
        <f>SUM(C9:G9)</f>
        <v/>
      </c>
    </row>
    <row r="10">
      <c r="B10" s="7" t="inlineStr">
        <is>
          <t>Utilidad antes de impuestos</t>
        </is>
      </c>
      <c r="C10" s="37">
        <f>SUM(Mensual!D40:O40)</f>
        <v/>
      </c>
      <c r="D10" s="37">
        <f>SUM(Mensual!P40:AA40)</f>
        <v/>
      </c>
      <c r="E10" s="37">
        <f>SUM(Mensual!AB40:AM40)</f>
        <v/>
      </c>
      <c r="F10" s="37">
        <f>SUM(Mensual!AN40:AY40)</f>
        <v/>
      </c>
      <c r="G10" s="37">
        <f>SUM(Mensual!AZ40:BK40)</f>
        <v/>
      </c>
      <c r="H10" s="24">
        <f>SUM(C10:G10)</f>
        <v/>
      </c>
    </row>
    <row r="11">
      <c r="B11" s="9" t="inlineStr">
        <is>
          <t>Pérdidas acumuladas deducibles este año (20% de cada pérdida previa)</t>
        </is>
      </c>
      <c r="C11" s="14">
        <f>0</f>
        <v/>
      </c>
      <c r="D11" s="14">
        <f>0.2*MAX(0,-C10)</f>
        <v/>
      </c>
      <c r="E11" s="14">
        <f>0.2*MAX(0,-C10)+0.2*MAX(0,-D10)</f>
        <v/>
      </c>
      <c r="F11" s="14">
        <f>0.2*MAX(0,-C10)+0.2*MAX(0,-D10)+0.2*MAX(0,-E10)</f>
        <v/>
      </c>
      <c r="G11" s="14">
        <f>0.2*MAX(0,-C10)+0.2*MAX(0,-D10)+0.2*MAX(0,-E10)+0.2*MAX(0,-F10)</f>
        <v/>
      </c>
    </row>
    <row r="12">
      <c r="B12" s="9" t="inlineStr">
        <is>
          <t>Deducción aplicada (tope 50% de la renta)</t>
        </is>
      </c>
      <c r="C12" s="14">
        <f>MIN(0.5*MAX(0,C10),C11)</f>
        <v/>
      </c>
      <c r="D12" s="14">
        <f>MIN(0.5*MAX(0,D10),D11)</f>
        <v/>
      </c>
      <c r="E12" s="14">
        <f>MIN(0.5*MAX(0,E10),E11)</f>
        <v/>
      </c>
      <c r="F12" s="14">
        <f>MIN(0.5*MAX(0,F10),F11)</f>
        <v/>
      </c>
      <c r="G12" s="14">
        <f>MIN(0.5*MAX(0,G10),G11)</f>
        <v/>
      </c>
    </row>
    <row r="13">
      <c r="B13" s="9" t="inlineStr">
        <is>
          <t>Renta gravable</t>
        </is>
      </c>
      <c r="C13" s="14">
        <f>MAX(0,C10)-C12</f>
        <v/>
      </c>
      <c r="D13" s="14">
        <f>MAX(0,D10)-D12</f>
        <v/>
      </c>
      <c r="E13" s="14">
        <f>MAX(0,E10)-E12</f>
        <v/>
      </c>
      <c r="F13" s="14">
        <f>MAX(0,F10)-F12</f>
        <v/>
      </c>
      <c r="G13" s="14">
        <f>MAX(0,G10)-G12</f>
        <v/>
      </c>
      <c r="H13" s="24">
        <f>SUM(C13:G13)</f>
        <v/>
      </c>
    </row>
    <row r="14">
      <c r="B14" s="9" t="inlineStr">
        <is>
          <t>Impuesto sobre la renta (o CAIR si ventas &gt; B/.1.5 millones)</t>
        </is>
      </c>
      <c r="C14" s="14">
        <f>MAX(p_isr*C13,IF(C4&gt;1500000,0.011675*C4,0))</f>
        <v/>
      </c>
      <c r="D14" s="14">
        <f>MAX(p_isr*D13,IF(D4&gt;1500000,0.011675*D4,0))</f>
        <v/>
      </c>
      <c r="E14" s="14">
        <f>MAX(p_isr*E13,IF(E4&gt;1500000,0.011675*E4,0))</f>
        <v/>
      </c>
      <c r="F14" s="14">
        <f>MAX(p_isr*F13,IF(F4&gt;1500000,0.011675*F4,0))</f>
        <v/>
      </c>
      <c r="G14" s="14">
        <f>MAX(p_isr*G13,IF(G4&gt;1500000,0.011675*G4,0))</f>
        <v/>
      </c>
      <c r="H14" s="24">
        <f>SUM(C14:G14)</f>
        <v/>
      </c>
    </row>
    <row r="15">
      <c r="B15" s="7" t="inlineStr">
        <is>
          <t>Utilidad neta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SUM(C15:G15)</f>
        <v/>
      </c>
    </row>
    <row r="16">
      <c r="B16" s="9" t="inlineStr">
        <is>
          <t>Margen neto</t>
        </is>
      </c>
      <c r="C16" s="20">
        <f>IF(C4&gt;0,C15/C4,0)</f>
        <v/>
      </c>
      <c r="D16" s="20">
        <f>IF(D4&gt;0,D15/D4,0)</f>
        <v/>
      </c>
      <c r="E16" s="20">
        <f>IF(E4&gt;0,E15/E4,0)</f>
        <v/>
      </c>
      <c r="F16" s="20">
        <f>IF(F4&gt;0,F15/F4,0)</f>
        <v/>
      </c>
      <c r="G16" s="20">
        <f>IF(G4&gt;0,G15/G4,0)</f>
        <v/>
      </c>
    </row>
    <row r="17">
      <c r="B17" s="10" t="inlineStr">
        <is>
          <t>Memo: impuesto de aviso de operación pagado (no se deduce de la renta en el modelo)</t>
        </is>
      </c>
      <c r="C17" s="37">
        <f>SUM(Mensual!D42:O42)</f>
        <v/>
      </c>
      <c r="D17" s="37">
        <f>SUM(Mensual!P42:AA42)</f>
        <v/>
      </c>
      <c r="E17" s="37">
        <f>SUM(Mensual!AB42:AM42)</f>
        <v/>
      </c>
      <c r="F17" s="37">
        <f>SUM(Mensual!AN42:AY42)</f>
        <v/>
      </c>
      <c r="G17" s="37">
        <f>SUM(Mensual!AZ42:BK42)</f>
        <v/>
      </c>
      <c r="H17" s="24">
        <f>SUM(C17:G17)</f>
        <v/>
      </c>
    </row>
    <row r="18">
      <c r="B18" s="23" t="inlineStr">
        <is>
          <t>Punto de equilibrio (ventas anuales que cubren fijos)</t>
        </is>
      </c>
    </row>
    <row r="19">
      <c r="B19" s="9" t="inlineStr">
        <is>
          <t>Costos fijos anuales a plena operación</t>
        </is>
      </c>
      <c r="C19" s="14">
        <f>f_total*12+c_annual+c_n_reg1*p_postreg</f>
        <v/>
      </c>
    </row>
    <row r="20">
      <c r="B20" s="9" t="inlineStr">
        <is>
          <t>Margen bruto promedio del portafolio</t>
        </is>
      </c>
      <c r="C20" s="20">
        <f>IF(s_rev_exp&gt;0,s_gp_exp/s_rev_exp,0)</f>
        <v/>
      </c>
    </row>
    <row r="21">
      <c r="B21" s="9" t="inlineStr">
        <is>
          <t>Gastos variables (% ventas)</t>
        </is>
      </c>
      <c r="C21" s="20">
        <f>p_dist+p_penal+p_baddebt+p_expiry*(1-C20)</f>
        <v/>
      </c>
    </row>
    <row r="22">
      <c r="B22" s="7" t="inlineStr">
        <is>
          <t>Ventas de equilibrio (B/./año)</t>
        </is>
      </c>
      <c r="C22" s="24">
        <f>IF(C20-C21&gt;0,C19/(C20-C21),0)</f>
        <v/>
      </c>
    </row>
    <row r="23">
      <c r="B23" s="9" t="inlineStr">
        <is>
          <t>Ventas esperadas de la primera ola en madurez (B/./año)</t>
        </is>
      </c>
      <c r="C23" s="37">
        <f>s_rev_exp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K49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B1" s="6" t="inlineStr">
        <is>
          <t>Valoración y capital requerido</t>
        </is>
      </c>
    </row>
    <row r="2">
      <c r="B2" s="7">
        <f>CONCATENATE("Escenario activo: ",Supuestos!C3,IF(p_sl=1," | tarifas SignatureLex"," | tarifas de mercado"))</f>
        <v/>
      </c>
    </row>
    <row r="4">
      <c r="B4" s="9" t="inlineStr">
        <is>
          <t>Capital aportado por los socios durante 60 meses</t>
        </is>
      </c>
      <c r="C4" s="37">
        <f>SUM(Mensual!D45:BK45)</f>
        <v/>
      </c>
    </row>
    <row r="5">
      <c r="B5" s="9" t="inlineStr">
        <is>
          <t>Gasto de fase 0 (antes de constituir, lo pagan los socios)</t>
        </is>
      </c>
      <c r="C5" s="14">
        <f>c_phase0</f>
        <v/>
      </c>
    </row>
    <row r="6">
      <c r="B6" s="9" t="inlineStr">
        <is>
          <t>Dividendos pagados (antes del 10%)</t>
        </is>
      </c>
      <c r="C6" s="37">
        <f>SUM(Mensual!D46:BK46)</f>
        <v/>
      </c>
    </row>
    <row r="7">
      <c r="B7" s="9" t="inlineStr">
        <is>
          <t>Caja al mes 60</t>
        </is>
      </c>
      <c r="C7" s="37">
        <f>Mensual!BK49</f>
        <v/>
      </c>
    </row>
    <row r="8">
      <c r="B8" s="9" t="inlineStr">
        <is>
          <t>Cuentas por cobrar al mes 60</t>
        </is>
      </c>
      <c r="C8" s="37">
        <f>SUMPRODUCT((m_mes&gt;60-c_dso_m)*Mensual!$D$17:$BK$17)*(1-p_baddebt)*(1-p_fact_share)+p_fact_share*Mensual!BK17*(1-p_baddebt)*(1-p_fact_cost*c_dso_m)</f>
        <v/>
      </c>
    </row>
    <row r="9">
      <c r="B9" s="9" t="inlineStr">
        <is>
          <t>Inventario al mes 60</t>
        </is>
      </c>
      <c r="C9" s="37">
        <f>Mensual!BK21</f>
        <v/>
      </c>
    </row>
    <row r="10">
      <c r="B10" s="9" t="inlineStr">
        <is>
          <t>Colateral de fianzas al mes 60</t>
        </is>
      </c>
      <c r="C10" s="37">
        <f>Mensual!BK35</f>
        <v/>
      </c>
    </row>
    <row r="11">
      <c r="B11" s="9" t="inlineStr">
        <is>
          <t>Cuentas por pagar al proveedor al mes 60</t>
        </is>
      </c>
      <c r="C11" s="37">
        <f>SUMPRODUCT((m_mes&gt;60-MAX(0,c_credit_m-c_ship_m))*Mensual!$D$22:$BK$22)*(1-p_adv)</f>
        <v/>
      </c>
    </row>
    <row r="12">
      <c r="B12" s="9" t="inlineStr">
        <is>
          <t>Capital de trabajo neto al mes 60</t>
        </is>
      </c>
      <c r="C12" s="14">
        <f>C8+C9+C10-C11</f>
        <v/>
      </c>
    </row>
    <row r="13">
      <c r="B13" s="9" t="inlineStr">
        <is>
          <t>Impuesto sobre la renta (saldo después de las cuotas estimadas) y aviso de operación del año 5 por pagar</t>
        </is>
      </c>
      <c r="C13" s="37">
        <f>Anual!G14-Anual!F14+IF(60&lt;=ROUND(p_stop_det,0)+3,MIN(60000,MAX(100,p_aviso*MAX(0,C4+SUM(Anual!C15:G15)-C6-SUM(Mensual!D47:BK47)))),0)</f>
        <v/>
      </c>
    </row>
    <row r="14">
      <c r="B14" s="9" t="inlineStr">
        <is>
          <t>Valor terminal conservador (caja + recuperación del capital de trabajo)</t>
        </is>
      </c>
      <c r="C14" s="14">
        <f>C7+p_recov*C12-C13</f>
        <v/>
      </c>
    </row>
    <row r="15">
      <c r="B15" s="9" t="inlineStr">
        <is>
          <t>Valor terminal como negocio en marcha (caja + múltiplo de la utilidad del año 5)</t>
        </is>
      </c>
      <c r="C15" s="37">
        <f>C7-C13+p_gc_mult*MAX(0,Anual!G15)</f>
        <v/>
      </c>
    </row>
    <row r="16">
      <c r="B16" s="9" t="inlineStr">
        <is>
          <t>Valor terminal usado en el caso "en marcha" (el mayor)</t>
        </is>
      </c>
      <c r="C16" s="14">
        <f>MAX(C14,C15)</f>
        <v/>
      </c>
    </row>
    <row r="17">
      <c r="B17" s="9" t="inlineStr">
        <is>
          <t>Valor terminal neto del impuesto de dividendos (conservador)</t>
        </is>
      </c>
      <c r="C17" s="37">
        <f>C14-p_divtax*MAX(0,C14-MAX(0,C4-SUM(Mensual!D47:BK47)))</f>
        <v/>
      </c>
    </row>
    <row r="18">
      <c r="B18" s="9" t="inlineStr">
        <is>
          <t>Valor terminal neto del impuesto de dividendos (en marcha)</t>
        </is>
      </c>
      <c r="C18" s="37">
        <f>C16-p_divtax*MAX(0,C16-MAX(0,C4-SUM(Mensual!D47:BK47)))</f>
        <v/>
      </c>
    </row>
    <row r="20">
      <c r="C20" s="39" t="n">
        <v>0</v>
      </c>
      <c r="D20" s="39" t="n">
        <v>1</v>
      </c>
      <c r="E20" s="39" t="n">
        <v>2</v>
      </c>
      <c r="F20" s="39" t="n">
        <v>3</v>
      </c>
      <c r="G20" s="39" t="n">
        <v>4</v>
      </c>
      <c r="H20" s="39" t="n">
        <v>5</v>
      </c>
      <c r="I20" s="39" t="n">
        <v>6</v>
      </c>
      <c r="J20" s="39" t="n">
        <v>7</v>
      </c>
      <c r="K20" s="39" t="n">
        <v>8</v>
      </c>
      <c r="L20" s="39" t="n">
        <v>9</v>
      </c>
      <c r="M20" s="39" t="n">
        <v>10</v>
      </c>
      <c r="N20" s="39" t="n">
        <v>11</v>
      </c>
      <c r="O20" s="39" t="n">
        <v>12</v>
      </c>
      <c r="P20" s="39" t="n">
        <v>13</v>
      </c>
      <c r="Q20" s="39" t="n">
        <v>14</v>
      </c>
      <c r="R20" s="39" t="n">
        <v>15</v>
      </c>
      <c r="S20" s="39" t="n">
        <v>16</v>
      </c>
      <c r="T20" s="39" t="n">
        <v>17</v>
      </c>
      <c r="U20" s="39" t="n">
        <v>18</v>
      </c>
      <c r="V20" s="39" t="n">
        <v>19</v>
      </c>
      <c r="W20" s="39" t="n">
        <v>20</v>
      </c>
      <c r="X20" s="39" t="n">
        <v>21</v>
      </c>
      <c r="Y20" s="39" t="n">
        <v>22</v>
      </c>
      <c r="Z20" s="39" t="n">
        <v>23</v>
      </c>
      <c r="AA20" s="39" t="n">
        <v>24</v>
      </c>
      <c r="AB20" s="39" t="n">
        <v>25</v>
      </c>
      <c r="AC20" s="39" t="n">
        <v>26</v>
      </c>
      <c r="AD20" s="39" t="n">
        <v>27</v>
      </c>
      <c r="AE20" s="39" t="n">
        <v>28</v>
      </c>
      <c r="AF20" s="39" t="n">
        <v>29</v>
      </c>
      <c r="AG20" s="39" t="n">
        <v>30</v>
      </c>
      <c r="AH20" s="39" t="n">
        <v>31</v>
      </c>
      <c r="AI20" s="39" t="n">
        <v>32</v>
      </c>
      <c r="AJ20" s="39" t="n">
        <v>33</v>
      </c>
      <c r="AK20" s="39" t="n">
        <v>34</v>
      </c>
      <c r="AL20" s="39" t="n">
        <v>35</v>
      </c>
      <c r="AM20" s="39" t="n">
        <v>36</v>
      </c>
      <c r="AN20" s="39" t="n">
        <v>37</v>
      </c>
      <c r="AO20" s="39" t="n">
        <v>38</v>
      </c>
      <c r="AP20" s="39" t="n">
        <v>39</v>
      </c>
      <c r="AQ20" s="39" t="n">
        <v>40</v>
      </c>
      <c r="AR20" s="39" t="n">
        <v>41</v>
      </c>
      <c r="AS20" s="39" t="n">
        <v>42</v>
      </c>
      <c r="AT20" s="39" t="n">
        <v>43</v>
      </c>
      <c r="AU20" s="39" t="n">
        <v>44</v>
      </c>
      <c r="AV20" s="39" t="n">
        <v>45</v>
      </c>
      <c r="AW20" s="39" t="n">
        <v>46</v>
      </c>
      <c r="AX20" s="39" t="n">
        <v>47</v>
      </c>
      <c r="AY20" s="39" t="n">
        <v>48</v>
      </c>
      <c r="AZ20" s="39" t="n">
        <v>49</v>
      </c>
      <c r="BA20" s="39" t="n">
        <v>50</v>
      </c>
      <c r="BB20" s="39" t="n">
        <v>51</v>
      </c>
      <c r="BC20" s="39" t="n">
        <v>52</v>
      </c>
      <c r="BD20" s="39" t="n">
        <v>53</v>
      </c>
      <c r="BE20" s="39" t="n">
        <v>54</v>
      </c>
      <c r="BF20" s="39" t="n">
        <v>55</v>
      </c>
      <c r="BG20" s="39" t="n">
        <v>56</v>
      </c>
      <c r="BH20" s="39" t="n">
        <v>57</v>
      </c>
      <c r="BI20" s="39" t="n">
        <v>58</v>
      </c>
      <c r="BJ20" s="39" t="n">
        <v>59</v>
      </c>
      <c r="BK20" s="39" t="n">
        <v>60</v>
      </c>
    </row>
    <row r="21">
      <c r="B21" s="23" t="inlineStr">
        <is>
          <t>Flujo de los accionistas, conservador (mes 0 a 60, sigue a la derecha)</t>
        </is>
      </c>
      <c r="C21" s="37">
        <f>Mensual!C50</f>
        <v/>
      </c>
      <c r="D21" s="37">
        <f>Mensual!D50</f>
        <v/>
      </c>
      <c r="E21" s="37">
        <f>Mensual!E50</f>
        <v/>
      </c>
      <c r="F21" s="37">
        <f>Mensual!F50</f>
        <v/>
      </c>
      <c r="G21" s="37">
        <f>Mensual!G50</f>
        <v/>
      </c>
      <c r="H21" s="37">
        <f>Mensual!H50</f>
        <v/>
      </c>
      <c r="I21" s="37">
        <f>Mensual!I50</f>
        <v/>
      </c>
      <c r="J21" s="37">
        <f>Mensual!J50</f>
        <v/>
      </c>
      <c r="K21" s="37">
        <f>Mensual!K50</f>
        <v/>
      </c>
      <c r="L21" s="37">
        <f>Mensual!L50</f>
        <v/>
      </c>
      <c r="M21" s="37">
        <f>Mensual!M50</f>
        <v/>
      </c>
      <c r="N21" s="37">
        <f>Mensual!N50</f>
        <v/>
      </c>
      <c r="O21" s="37">
        <f>Mensual!O50</f>
        <v/>
      </c>
      <c r="P21" s="37">
        <f>Mensual!P50</f>
        <v/>
      </c>
      <c r="Q21" s="37">
        <f>Mensual!Q50</f>
        <v/>
      </c>
      <c r="R21" s="37">
        <f>Mensual!R50</f>
        <v/>
      </c>
      <c r="S21" s="37">
        <f>Mensual!S50</f>
        <v/>
      </c>
      <c r="T21" s="37">
        <f>Mensual!T50</f>
        <v/>
      </c>
      <c r="U21" s="37">
        <f>Mensual!U50</f>
        <v/>
      </c>
      <c r="V21" s="37">
        <f>Mensual!V50</f>
        <v/>
      </c>
      <c r="W21" s="37">
        <f>Mensual!W50</f>
        <v/>
      </c>
      <c r="X21" s="37">
        <f>Mensual!X50</f>
        <v/>
      </c>
      <c r="Y21" s="37">
        <f>Mensual!Y50</f>
        <v/>
      </c>
      <c r="Z21" s="37">
        <f>Mensual!Z50</f>
        <v/>
      </c>
      <c r="AA21" s="37">
        <f>Mensual!AA50</f>
        <v/>
      </c>
      <c r="AB21" s="37">
        <f>Mensual!AB50</f>
        <v/>
      </c>
      <c r="AC21" s="37">
        <f>Mensual!AC50</f>
        <v/>
      </c>
      <c r="AD21" s="37">
        <f>Mensual!AD50</f>
        <v/>
      </c>
      <c r="AE21" s="37">
        <f>Mensual!AE50</f>
        <v/>
      </c>
      <c r="AF21" s="37">
        <f>Mensual!AF50</f>
        <v/>
      </c>
      <c r="AG21" s="37">
        <f>Mensual!AG50</f>
        <v/>
      </c>
      <c r="AH21" s="37">
        <f>Mensual!AH50</f>
        <v/>
      </c>
      <c r="AI21" s="37">
        <f>Mensual!AI50</f>
        <v/>
      </c>
      <c r="AJ21" s="37">
        <f>Mensual!AJ50</f>
        <v/>
      </c>
      <c r="AK21" s="37">
        <f>Mensual!AK50</f>
        <v/>
      </c>
      <c r="AL21" s="37">
        <f>Mensual!AL50</f>
        <v/>
      </c>
      <c r="AM21" s="37">
        <f>Mensual!AM50</f>
        <v/>
      </c>
      <c r="AN21" s="37">
        <f>Mensual!AN50</f>
        <v/>
      </c>
      <c r="AO21" s="37">
        <f>Mensual!AO50</f>
        <v/>
      </c>
      <c r="AP21" s="37">
        <f>Mensual!AP50</f>
        <v/>
      </c>
      <c r="AQ21" s="37">
        <f>Mensual!AQ50</f>
        <v/>
      </c>
      <c r="AR21" s="37">
        <f>Mensual!AR50</f>
        <v/>
      </c>
      <c r="AS21" s="37">
        <f>Mensual!AS50</f>
        <v/>
      </c>
      <c r="AT21" s="37">
        <f>Mensual!AT50</f>
        <v/>
      </c>
      <c r="AU21" s="37">
        <f>Mensual!AU50</f>
        <v/>
      </c>
      <c r="AV21" s="37">
        <f>Mensual!AV50</f>
        <v/>
      </c>
      <c r="AW21" s="37">
        <f>Mensual!AW50</f>
        <v/>
      </c>
      <c r="AX21" s="37">
        <f>Mensual!AX50</f>
        <v/>
      </c>
      <c r="AY21" s="37">
        <f>Mensual!AY50</f>
        <v/>
      </c>
      <c r="AZ21" s="37">
        <f>Mensual!AZ50</f>
        <v/>
      </c>
      <c r="BA21" s="37">
        <f>Mensual!BA50</f>
        <v/>
      </c>
      <c r="BB21" s="37">
        <f>Mensual!BB50</f>
        <v/>
      </c>
      <c r="BC21" s="37">
        <f>Mensual!BC50</f>
        <v/>
      </c>
      <c r="BD21" s="37">
        <f>Mensual!BD50</f>
        <v/>
      </c>
      <c r="BE21" s="37">
        <f>Mensual!BE50</f>
        <v/>
      </c>
      <c r="BF21" s="37">
        <f>Mensual!BF50</f>
        <v/>
      </c>
      <c r="BG21" s="37">
        <f>Mensual!BG50</f>
        <v/>
      </c>
      <c r="BH21" s="37">
        <f>Mensual!BH50</f>
        <v/>
      </c>
      <c r="BI21" s="37">
        <f>Mensual!BI50</f>
        <v/>
      </c>
      <c r="BJ21" s="37">
        <f>Mensual!BJ50</f>
        <v/>
      </c>
      <c r="BK21" s="37">
        <f>Mensual!BK50+$C$17</f>
        <v/>
      </c>
    </row>
    <row r="22">
      <c r="B22" s="23" t="inlineStr">
        <is>
          <t>Flujo de los accionistas, en marcha</t>
        </is>
      </c>
      <c r="C22" s="37">
        <f>Mensual!C50</f>
        <v/>
      </c>
      <c r="D22" s="37">
        <f>Mensual!D50</f>
        <v/>
      </c>
      <c r="E22" s="37">
        <f>Mensual!E50</f>
        <v/>
      </c>
      <c r="F22" s="37">
        <f>Mensual!F50</f>
        <v/>
      </c>
      <c r="G22" s="37">
        <f>Mensual!G50</f>
        <v/>
      </c>
      <c r="H22" s="37">
        <f>Mensual!H50</f>
        <v/>
      </c>
      <c r="I22" s="37">
        <f>Mensual!I50</f>
        <v/>
      </c>
      <c r="J22" s="37">
        <f>Mensual!J50</f>
        <v/>
      </c>
      <c r="K22" s="37">
        <f>Mensual!K50</f>
        <v/>
      </c>
      <c r="L22" s="37">
        <f>Mensual!L50</f>
        <v/>
      </c>
      <c r="M22" s="37">
        <f>Mensual!M50</f>
        <v/>
      </c>
      <c r="N22" s="37">
        <f>Mensual!N50</f>
        <v/>
      </c>
      <c r="O22" s="37">
        <f>Mensual!O50</f>
        <v/>
      </c>
      <c r="P22" s="37">
        <f>Mensual!P50</f>
        <v/>
      </c>
      <c r="Q22" s="37">
        <f>Mensual!Q50</f>
        <v/>
      </c>
      <c r="R22" s="37">
        <f>Mensual!R50</f>
        <v/>
      </c>
      <c r="S22" s="37">
        <f>Mensual!S50</f>
        <v/>
      </c>
      <c r="T22" s="37">
        <f>Mensual!T50</f>
        <v/>
      </c>
      <c r="U22" s="37">
        <f>Mensual!U50</f>
        <v/>
      </c>
      <c r="V22" s="37">
        <f>Mensual!V50</f>
        <v/>
      </c>
      <c r="W22" s="37">
        <f>Mensual!W50</f>
        <v/>
      </c>
      <c r="X22" s="37">
        <f>Mensual!X50</f>
        <v/>
      </c>
      <c r="Y22" s="37">
        <f>Mensual!Y50</f>
        <v/>
      </c>
      <c r="Z22" s="37">
        <f>Mensual!Z50</f>
        <v/>
      </c>
      <c r="AA22" s="37">
        <f>Mensual!AA50</f>
        <v/>
      </c>
      <c r="AB22" s="37">
        <f>Mensual!AB50</f>
        <v/>
      </c>
      <c r="AC22" s="37">
        <f>Mensual!AC50</f>
        <v/>
      </c>
      <c r="AD22" s="37">
        <f>Mensual!AD50</f>
        <v/>
      </c>
      <c r="AE22" s="37">
        <f>Mensual!AE50</f>
        <v/>
      </c>
      <c r="AF22" s="37">
        <f>Mensual!AF50</f>
        <v/>
      </c>
      <c r="AG22" s="37">
        <f>Mensual!AG50</f>
        <v/>
      </c>
      <c r="AH22" s="37">
        <f>Mensual!AH50</f>
        <v/>
      </c>
      <c r="AI22" s="37">
        <f>Mensual!AI50</f>
        <v/>
      </c>
      <c r="AJ22" s="37">
        <f>Mensual!AJ50</f>
        <v/>
      </c>
      <c r="AK22" s="37">
        <f>Mensual!AK50</f>
        <v/>
      </c>
      <c r="AL22" s="37">
        <f>Mensual!AL50</f>
        <v/>
      </c>
      <c r="AM22" s="37">
        <f>Mensual!AM50</f>
        <v/>
      </c>
      <c r="AN22" s="37">
        <f>Mensual!AN50</f>
        <v/>
      </c>
      <c r="AO22" s="37">
        <f>Mensual!AO50</f>
        <v/>
      </c>
      <c r="AP22" s="37">
        <f>Mensual!AP50</f>
        <v/>
      </c>
      <c r="AQ22" s="37">
        <f>Mensual!AQ50</f>
        <v/>
      </c>
      <c r="AR22" s="37">
        <f>Mensual!AR50</f>
        <v/>
      </c>
      <c r="AS22" s="37">
        <f>Mensual!AS50</f>
        <v/>
      </c>
      <c r="AT22" s="37">
        <f>Mensual!AT50</f>
        <v/>
      </c>
      <c r="AU22" s="37">
        <f>Mensual!AU50</f>
        <v/>
      </c>
      <c r="AV22" s="37">
        <f>Mensual!AV50</f>
        <v/>
      </c>
      <c r="AW22" s="37">
        <f>Mensual!AW50</f>
        <v/>
      </c>
      <c r="AX22" s="37">
        <f>Mensual!AX50</f>
        <v/>
      </c>
      <c r="AY22" s="37">
        <f>Mensual!AY50</f>
        <v/>
      </c>
      <c r="AZ22" s="37">
        <f>Mensual!AZ50</f>
        <v/>
      </c>
      <c r="BA22" s="37">
        <f>Mensual!BA50</f>
        <v/>
      </c>
      <c r="BB22" s="37">
        <f>Mensual!BB50</f>
        <v/>
      </c>
      <c r="BC22" s="37">
        <f>Mensual!BC50</f>
        <v/>
      </c>
      <c r="BD22" s="37">
        <f>Mensual!BD50</f>
        <v/>
      </c>
      <c r="BE22" s="37">
        <f>Mensual!BE50</f>
        <v/>
      </c>
      <c r="BF22" s="37">
        <f>Mensual!BF50</f>
        <v/>
      </c>
      <c r="BG22" s="37">
        <f>Mensual!BG50</f>
        <v/>
      </c>
      <c r="BH22" s="37">
        <f>Mensual!BH50</f>
        <v/>
      </c>
      <c r="BI22" s="37">
        <f>Mensual!BI50</f>
        <v/>
      </c>
      <c r="BJ22" s="37">
        <f>Mensual!BJ50</f>
        <v/>
      </c>
      <c r="BK22" s="37">
        <f>Mensual!BK50+$C$18</f>
        <v/>
      </c>
    </row>
    <row r="24">
      <c r="B24" s="7" t="inlineStr">
        <is>
          <t>VPN al 15% anual (conservador)</t>
        </is>
      </c>
      <c r="C24" s="40">
        <f>SUMPRODUCT($C$21:$BK$21,1/(1+0.15)^($C$20:$BK$20/12))</f>
        <v/>
      </c>
    </row>
    <row r="25">
      <c r="B25" s="7" t="inlineStr">
        <is>
          <t>VPN a la tasa de descuento del escenario (conservador)</t>
        </is>
      </c>
      <c r="C25" s="40">
        <f>SUMPRODUCT($C$21:$BK$21,1/(1+p_disc)^($C$20:$BK$20/12))</f>
        <v/>
      </c>
    </row>
    <row r="26">
      <c r="B26" s="7" t="inlineStr">
        <is>
          <t>VPN al 15% anual (en marcha)</t>
        </is>
      </c>
      <c r="C26" s="40">
        <f>SUMPRODUCT($C$22:$BK$22,1/(1+0.15)^($C$20:$BK$20/12))</f>
        <v/>
      </c>
    </row>
    <row r="27">
      <c r="B27" s="7" t="inlineStr">
        <is>
          <t>TIR anual (conservador)</t>
        </is>
      </c>
      <c r="C27" s="41">
        <f>IFERROR((1+IRR($C$21:$BK$21,0.01))^12-1,IFERROR((1+IRR($C$21:$BK$21,-0.1))^12-1,IFERROR((1+IRR($C$21:$BK$21,-0.19))^12-1,IFERROR((1+IRR($C$21:$BK$21,-0.3))^12-1,"n.d."))))</f>
        <v/>
      </c>
    </row>
    <row r="28">
      <c r="B28" s="7" t="inlineStr">
        <is>
          <t>TIR anual (en marcha)</t>
        </is>
      </c>
      <c r="C28" s="41">
        <f>IFERROR((1+IRR($C$22:$BK$22,0.01))^12-1,IFERROR((1+IRR($C$22:$BK$22,-0.1))^12-1,IFERROR((1+IRR($C$22:$BK$22,-0.19))^12-1,"n.d.")))</f>
        <v/>
      </c>
    </row>
    <row r="29">
      <c r="B29" s="7" t="inlineStr">
        <is>
          <t>Múltiplo del capital (lo que vuelve / lo que se pone), conservador</t>
        </is>
      </c>
      <c r="C29" s="42">
        <f>IF(-SUMIF($C$21:$BK$21,"&lt;0")&gt;0,SUMIF($C$21:$BK$21,"&gt;0")/-SUMIF($C$21:$BK$21,"&lt;0"),0)</f>
        <v/>
      </c>
    </row>
    <row r="30">
      <c r="B30" s="7" t="inlineStr">
        <is>
          <t>Capital máximo acumulado (pico de necesidad de caja de los socios)</t>
        </is>
      </c>
      <c r="C30" s="40">
        <f>-MIN(C34:BK34)</f>
        <v/>
      </c>
    </row>
    <row r="31">
      <c r="B31" s="7" t="inlineStr">
        <is>
          <t>Ganancia de Zywie por su margen sobre el precio de fábrica (60 meses)</t>
        </is>
      </c>
      <c r="C31" s="40">
        <f>SUM(Mensual!D22:BK22)*s_fob_share*p_zy_markup/(1+p_zy_markup)</f>
        <v/>
      </c>
    </row>
    <row r="33">
      <c r="B33" s="9" t="inlineStr">
        <is>
          <t>Flujo acumulado (conservador, sin valor terminal)</t>
        </is>
      </c>
    </row>
    <row r="34">
      <c r="B34" s="9" t="inlineStr">
        <is>
          <t>Flujo acumulado de los accionistas</t>
        </is>
      </c>
      <c r="C34" s="14">
        <f>SUM($C$21:C21)-IF(0=60,$C$17,0)</f>
        <v/>
      </c>
      <c r="D34" s="14">
        <f>SUM($C$21:D21)-IF(1=60,$C$17,0)</f>
        <v/>
      </c>
      <c r="E34" s="14">
        <f>SUM($C$21:E21)-IF(2=60,$C$17,0)</f>
        <v/>
      </c>
      <c r="F34" s="14">
        <f>SUM($C$21:F21)-IF(3=60,$C$17,0)</f>
        <v/>
      </c>
      <c r="G34" s="14">
        <f>SUM($C$21:G21)-IF(4=60,$C$17,0)</f>
        <v/>
      </c>
      <c r="H34" s="14">
        <f>SUM($C$21:H21)-IF(5=60,$C$17,0)</f>
        <v/>
      </c>
      <c r="I34" s="14">
        <f>SUM($C$21:I21)-IF(6=60,$C$17,0)</f>
        <v/>
      </c>
      <c r="J34" s="14">
        <f>SUM($C$21:J21)-IF(7=60,$C$17,0)</f>
        <v/>
      </c>
      <c r="K34" s="14">
        <f>SUM($C$21:K21)-IF(8=60,$C$17,0)</f>
        <v/>
      </c>
      <c r="L34" s="14">
        <f>SUM($C$21:L21)-IF(9=60,$C$17,0)</f>
        <v/>
      </c>
      <c r="M34" s="14">
        <f>SUM($C$21:M21)-IF(10=60,$C$17,0)</f>
        <v/>
      </c>
      <c r="N34" s="14">
        <f>SUM($C$21:N21)-IF(11=60,$C$17,0)</f>
        <v/>
      </c>
      <c r="O34" s="14">
        <f>SUM($C$21:O21)-IF(12=60,$C$17,0)</f>
        <v/>
      </c>
      <c r="P34" s="14">
        <f>SUM($C$21:P21)-IF(13=60,$C$17,0)</f>
        <v/>
      </c>
      <c r="Q34" s="14">
        <f>SUM($C$21:Q21)-IF(14=60,$C$17,0)</f>
        <v/>
      </c>
      <c r="R34" s="14">
        <f>SUM($C$21:R21)-IF(15=60,$C$17,0)</f>
        <v/>
      </c>
      <c r="S34" s="14">
        <f>SUM($C$21:S21)-IF(16=60,$C$17,0)</f>
        <v/>
      </c>
      <c r="T34" s="14">
        <f>SUM($C$21:T21)-IF(17=60,$C$17,0)</f>
        <v/>
      </c>
      <c r="U34" s="14">
        <f>SUM($C$21:U21)-IF(18=60,$C$17,0)</f>
        <v/>
      </c>
      <c r="V34" s="14">
        <f>SUM($C$21:V21)-IF(19=60,$C$17,0)</f>
        <v/>
      </c>
      <c r="W34" s="14">
        <f>SUM($C$21:W21)-IF(20=60,$C$17,0)</f>
        <v/>
      </c>
      <c r="X34" s="14">
        <f>SUM($C$21:X21)-IF(21=60,$C$17,0)</f>
        <v/>
      </c>
      <c r="Y34" s="14">
        <f>SUM($C$21:Y21)-IF(22=60,$C$17,0)</f>
        <v/>
      </c>
      <c r="Z34" s="14">
        <f>SUM($C$21:Z21)-IF(23=60,$C$17,0)</f>
        <v/>
      </c>
      <c r="AA34" s="14">
        <f>SUM($C$21:AA21)-IF(24=60,$C$17,0)</f>
        <v/>
      </c>
      <c r="AB34" s="14">
        <f>SUM($C$21:AB21)-IF(25=60,$C$17,0)</f>
        <v/>
      </c>
      <c r="AC34" s="14">
        <f>SUM($C$21:AC21)-IF(26=60,$C$17,0)</f>
        <v/>
      </c>
      <c r="AD34" s="14">
        <f>SUM($C$21:AD21)-IF(27=60,$C$17,0)</f>
        <v/>
      </c>
      <c r="AE34" s="14">
        <f>SUM($C$21:AE21)-IF(28=60,$C$17,0)</f>
        <v/>
      </c>
      <c r="AF34" s="14">
        <f>SUM($C$21:AF21)-IF(29=60,$C$17,0)</f>
        <v/>
      </c>
      <c r="AG34" s="14">
        <f>SUM($C$21:AG21)-IF(30=60,$C$17,0)</f>
        <v/>
      </c>
      <c r="AH34" s="14">
        <f>SUM($C$21:AH21)-IF(31=60,$C$17,0)</f>
        <v/>
      </c>
      <c r="AI34" s="14">
        <f>SUM($C$21:AI21)-IF(32=60,$C$17,0)</f>
        <v/>
      </c>
      <c r="AJ34" s="14">
        <f>SUM($C$21:AJ21)-IF(33=60,$C$17,0)</f>
        <v/>
      </c>
      <c r="AK34" s="14">
        <f>SUM($C$21:AK21)-IF(34=60,$C$17,0)</f>
        <v/>
      </c>
      <c r="AL34" s="14">
        <f>SUM($C$21:AL21)-IF(35=60,$C$17,0)</f>
        <v/>
      </c>
      <c r="AM34" s="14">
        <f>SUM($C$21:AM21)-IF(36=60,$C$17,0)</f>
        <v/>
      </c>
      <c r="AN34" s="14">
        <f>SUM($C$21:AN21)-IF(37=60,$C$17,0)</f>
        <v/>
      </c>
      <c r="AO34" s="14">
        <f>SUM($C$21:AO21)-IF(38=60,$C$17,0)</f>
        <v/>
      </c>
      <c r="AP34" s="14">
        <f>SUM($C$21:AP21)-IF(39=60,$C$17,0)</f>
        <v/>
      </c>
      <c r="AQ34" s="14">
        <f>SUM($C$21:AQ21)-IF(40=60,$C$17,0)</f>
        <v/>
      </c>
      <c r="AR34" s="14">
        <f>SUM($C$21:AR21)-IF(41=60,$C$17,0)</f>
        <v/>
      </c>
      <c r="AS34" s="14">
        <f>SUM($C$21:AS21)-IF(42=60,$C$17,0)</f>
        <v/>
      </c>
      <c r="AT34" s="14">
        <f>SUM($C$21:AT21)-IF(43=60,$C$17,0)</f>
        <v/>
      </c>
      <c r="AU34" s="14">
        <f>SUM($C$21:AU21)-IF(44=60,$C$17,0)</f>
        <v/>
      </c>
      <c r="AV34" s="14">
        <f>SUM($C$21:AV21)-IF(45=60,$C$17,0)</f>
        <v/>
      </c>
      <c r="AW34" s="14">
        <f>SUM($C$21:AW21)-IF(46=60,$C$17,0)</f>
        <v/>
      </c>
      <c r="AX34" s="14">
        <f>SUM($C$21:AX21)-IF(47=60,$C$17,0)</f>
        <v/>
      </c>
      <c r="AY34" s="14">
        <f>SUM($C$21:AY21)-IF(48=60,$C$17,0)</f>
        <v/>
      </c>
      <c r="AZ34" s="14">
        <f>SUM($C$21:AZ21)-IF(49=60,$C$17,0)</f>
        <v/>
      </c>
      <c r="BA34" s="14">
        <f>SUM($C$21:BA21)-IF(50=60,$C$17,0)</f>
        <v/>
      </c>
      <c r="BB34" s="14">
        <f>SUM($C$21:BB21)-IF(51=60,$C$17,0)</f>
        <v/>
      </c>
      <c r="BC34" s="14">
        <f>SUM($C$21:BC21)-IF(52=60,$C$17,0)</f>
        <v/>
      </c>
      <c r="BD34" s="14">
        <f>SUM($C$21:BD21)-IF(53=60,$C$17,0)</f>
        <v/>
      </c>
      <c r="BE34" s="14">
        <f>SUM($C$21:BE21)-IF(54=60,$C$17,0)</f>
        <v/>
      </c>
      <c r="BF34" s="14">
        <f>SUM($C$21:BF21)-IF(55=60,$C$17,0)</f>
        <v/>
      </c>
      <c r="BG34" s="14">
        <f>SUM($C$21:BG21)-IF(56=60,$C$17,0)</f>
        <v/>
      </c>
      <c r="BH34" s="14">
        <f>SUM($C$21:BH21)-IF(57=60,$C$17,0)</f>
        <v/>
      </c>
      <c r="BI34" s="14">
        <f>SUM($C$21:BI21)-IF(58=60,$C$17,0)</f>
        <v/>
      </c>
      <c r="BJ34" s="14">
        <f>SUM($C$21:BJ21)-IF(59=60,$C$17,0)</f>
        <v/>
      </c>
      <c r="BK34" s="14">
        <f>SUM($C$21:BK21)-IF(60=60,$C$17,0)</f>
        <v/>
      </c>
    </row>
    <row r="36">
      <c r="B36" s="23" t="inlineStr">
        <is>
          <t>Vista de un socio panameño (participación y aportes según el trato)</t>
        </is>
      </c>
    </row>
    <row r="37">
      <c r="B37" s="9" t="inlineStr">
        <is>
          <t>Participación del socio en las utilidades</t>
        </is>
      </c>
      <c r="C37" s="20">
        <f>(1-p_patel_eq)*p_jaime_frac</f>
        <v/>
      </c>
    </row>
    <row r="38">
      <c r="B38" s="9" t="inlineStr">
        <is>
          <t>Porcentaje del capital que aporta el socio</t>
        </is>
      </c>
      <c r="C38" s="20">
        <f>(1-p_patel_cash)*p_jaime_frac</f>
        <v/>
      </c>
    </row>
    <row r="39">
      <c r="B39" s="7" t="inlineStr">
        <is>
          <t>Capital total que pondría el socio (incluye su tercio de la fase 0)</t>
        </is>
      </c>
      <c r="C39" s="24">
        <f>C4*C38+C5*p_jaime_frac</f>
        <v/>
      </c>
    </row>
    <row r="40">
      <c r="B40" s="7" t="inlineStr">
        <is>
          <t>Lo que recibiría el socio (dividendos y valor terminal netos, conservador)</t>
        </is>
      </c>
      <c r="C40" s="24">
        <f>(C6*(1-p_divtax)+SUM(Mensual!D47:BK47)-SUM(Mensual!D48:BK48)+C17)*C37</f>
        <v/>
      </c>
    </row>
    <row r="41">
      <c r="B41" s="7" t="inlineStr">
        <is>
          <t>Resultado neto del socio en 5 años (sin descontar)</t>
        </is>
      </c>
      <c r="C41" s="43">
        <f>C40-C39</f>
        <v/>
      </c>
    </row>
    <row r="44">
      <c r="B44" s="23" t="inlineStr">
        <is>
          <t>Reparto del valor económico entre Rutul Patel y el lado panameño (nominal, 60 meses, conservador)</t>
        </is>
      </c>
    </row>
    <row r="45">
      <c r="B45" s="9" t="inlineStr">
        <is>
          <t>Valor neto para todos los accionistas (lo que vuelve menos lo que se pone)</t>
        </is>
      </c>
      <c r="C45" s="14">
        <f>SUM($C$21:$BK$21)</f>
        <v/>
      </c>
    </row>
    <row r="46">
      <c r="B46" s="9" t="inlineStr">
        <is>
          <t>Rutul Patel: margen de Zywie + su parte de lo distribuido - su parte del capital</t>
        </is>
      </c>
      <c r="C46" s="14">
        <f>C31+p_patel_eq*SUMIF(Valoración!$D$21:$BK$21,"&gt;0")-p_patel_cash*C4</f>
        <v/>
      </c>
    </row>
    <row r="47">
      <c r="B47" s="9" t="inlineStr">
        <is>
          <t>Lado panameño (3 socios): su parte de lo distribuido - su parte del capital - fase 0</t>
        </is>
      </c>
      <c r="C47" s="14">
        <f>(1-p_patel_eq)*SUMIF(Valoración!$D$21:$BK$21,"&gt;0")-(1-p_patel_cash)*C4-C5</f>
        <v/>
      </c>
    </row>
    <row r="48">
      <c r="B48" s="7" t="inlineStr">
        <is>
          <t>Porcentaje del valor total que se lleva Rutul Patel</t>
        </is>
      </c>
      <c r="C48" s="29">
        <f>IF(C46+C47&lt;&gt;0,C46/(C46+C47),0)</f>
        <v/>
      </c>
    </row>
    <row r="49">
      <c r="B49" s="10" t="inlineStr">
        <is>
          <t>Nota: si el valor neto total es negativo, el porcentaje no tiene interpretación útil; mire los montos.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6" t="inlineStr">
        <is>
          <t>Resultados por escenario (valores fijos del motor en Python)</t>
        </is>
      </c>
    </row>
    <row r="2">
      <c r="B2" s="10" t="inlineStr">
        <is>
          <t>Para recalcular en vivo, cambie Supuestos!B3. Estos valores sirven de referencia y de control cruzado.</t>
        </is>
      </c>
    </row>
    <row r="4">
      <c r="B4" s="11" t="inlineStr">
        <is>
          <t>Indicador</t>
        </is>
      </c>
      <c r="C4" s="11" t="inlineStr">
        <is>
          <t>Pesimista</t>
        </is>
      </c>
      <c r="D4" s="11" t="inlineStr">
        <is>
          <t>Base</t>
        </is>
      </c>
      <c r="E4" s="11" t="inlineStr">
        <is>
          <t>Optimista</t>
        </is>
      </c>
    </row>
    <row r="5">
      <c r="B5" s="9" t="inlineStr">
        <is>
          <t>Ventas año 1</t>
        </is>
      </c>
      <c r="C5" s="14" t="n">
        <v>0</v>
      </c>
      <c r="D5" s="14" t="n">
        <v>383.6598987374999</v>
      </c>
      <c r="E5" s="14" t="n">
        <v>6679.040660875555</v>
      </c>
    </row>
    <row r="6">
      <c r="B6" s="9" t="inlineStr">
        <is>
          <t>Ventas año 2</t>
        </is>
      </c>
      <c r="C6" s="14" t="n">
        <v>311.4047732075</v>
      </c>
      <c r="D6" s="14" t="n">
        <v>79893.70920719915</v>
      </c>
      <c r="E6" s="14" t="n">
        <v>512766.7336300717</v>
      </c>
    </row>
    <row r="7">
      <c r="B7" s="9" t="inlineStr">
        <is>
          <t>Ventas año 3</t>
        </is>
      </c>
      <c r="C7" s="14" t="n">
        <v>6127.53199632245</v>
      </c>
      <c r="D7" s="14" t="n">
        <v>176158.7977303777</v>
      </c>
      <c r="E7" s="14" t="n">
        <v>1002806.801891133</v>
      </c>
    </row>
    <row r="8">
      <c r="B8" s="9" t="inlineStr">
        <is>
          <t>Ventas año 5</t>
        </is>
      </c>
      <c r="C8" s="14" t="n">
        <v>6497.144726340619</v>
      </c>
      <c r="D8" s="14" t="n">
        <v>209152.9134966879</v>
      </c>
      <c r="E8" s="14" t="n">
        <v>1091826.955405044</v>
      </c>
    </row>
    <row r="9">
      <c r="B9" s="9" t="inlineStr">
        <is>
          <t>Utilidad neta año 1</t>
        </is>
      </c>
      <c r="C9" s="14" t="n">
        <v>-167924.3333333333</v>
      </c>
      <c r="D9" s="14" t="n">
        <v>-95535.94740008263</v>
      </c>
      <c r="E9" s="14" t="n">
        <v>-56975.84524326061</v>
      </c>
    </row>
    <row r="10">
      <c r="B10" s="9" t="inlineStr">
        <is>
          <t>Utilidad neta año 3</t>
        </is>
      </c>
      <c r="C10" s="14" t="n">
        <v>-95850.47493266819</v>
      </c>
      <c r="D10" s="14" t="n">
        <v>8147.931080925095</v>
      </c>
      <c r="E10" s="14" t="n">
        <v>420522.072684139</v>
      </c>
    </row>
    <row r="11">
      <c r="B11" s="9" t="inlineStr">
        <is>
          <t>Utilidad neta año 5</t>
        </is>
      </c>
      <c r="C11" s="14" t="n">
        <v>-98157.46532324223</v>
      </c>
      <c r="D11" s="14" t="n">
        <v>13727.89111303723</v>
      </c>
      <c r="E11" s="14" t="n">
        <v>459281.2219203771</v>
      </c>
    </row>
    <row r="12">
      <c r="B12" s="9" t="inlineStr">
        <is>
          <t>Capital (aportes más fase 0)</t>
        </is>
      </c>
      <c r="C12" s="14" t="n">
        <v>591968.850148785</v>
      </c>
      <c r="D12" s="14" t="n">
        <v>392937.988920986</v>
      </c>
      <c r="E12" s="14" t="n">
        <v>196374.2135548402</v>
      </c>
    </row>
    <row r="13">
      <c r="B13" s="9" t="inlineStr">
        <is>
          <t>Mes del pico de capital</t>
        </is>
      </c>
      <c r="C13" s="28" t="n">
        <v>60</v>
      </c>
      <c r="D13" s="28" t="n">
        <v>45</v>
      </c>
      <c r="E13" s="28" t="n">
        <v>16</v>
      </c>
    </row>
    <row r="14">
      <c r="B14" s="9" t="inlineStr">
        <is>
          <t>VPN al 15% (conservador)</t>
        </is>
      </c>
      <c r="C14" s="14" t="n">
        <v>-435375.3149837715</v>
      </c>
      <c r="D14" s="14" t="n">
        <v>-198692.758921373</v>
      </c>
      <c r="E14" s="14" t="n">
        <v>600643.0239782698</v>
      </c>
    </row>
    <row r="15">
      <c r="B15" s="9" t="inlineStr">
        <is>
          <t>VPN al 30% (conservador)</t>
        </is>
      </c>
      <c r="C15" s="14" t="n">
        <v>-359335.1517915485</v>
      </c>
      <c r="D15" s="14" t="n">
        <v>-207445.2536953371</v>
      </c>
      <c r="E15" s="14" t="n">
        <v>297569.6445991886</v>
      </c>
    </row>
    <row r="16">
      <c r="B16" s="9" t="inlineStr">
        <is>
          <t>TIR (conservador)</t>
        </is>
      </c>
      <c r="C16" s="20" t="n">
        <v>-0.9484344690969371</v>
      </c>
      <c r="D16" s="20" t="n">
        <v>-0.1231665101213257</v>
      </c>
      <c r="E16" s="20" t="n">
        <v>0.7851602886537286</v>
      </c>
    </row>
    <row r="17">
      <c r="B17" s="9" t="inlineStr">
        <is>
          <t>Múltiplo del capital (conservador)</t>
        </is>
      </c>
      <c r="C17" s="44" t="n">
        <v>0.04577095031400461</v>
      </c>
      <c r="D17" s="44" t="n">
        <v>0.6332683846227841</v>
      </c>
      <c r="E17" s="44" t="n">
        <v>7.34528700211265</v>
      </c>
    </row>
    <row r="18">
      <c r="B18" s="9" t="inlineStr">
        <is>
          <t>Mes de la primera venta</t>
        </is>
      </c>
      <c r="C18" s="28" t="n">
        <v>16</v>
      </c>
      <c r="D18" s="28" t="n">
        <v>12</v>
      </c>
      <c r="E18" s="28" t="n">
        <v>10</v>
      </c>
    </row>
    <row r="19">
      <c r="B19" s="9" t="inlineStr">
        <is>
          <t>Mes del primer contrato centralizado</t>
        </is>
      </c>
      <c r="C19" s="28" t="n">
        <v>27</v>
      </c>
      <c r="D19" s="28" t="n">
        <v>20</v>
      </c>
      <c r="E19" s="28" t="n">
        <v>13</v>
      </c>
    </row>
    <row r="20">
      <c r="B20" s="9" t="inlineStr">
        <is>
          <t>Ganancia de Zywie por su margen</t>
        </is>
      </c>
      <c r="C20" s="14" t="n">
        <v>1164.930569771712</v>
      </c>
      <c r="D20" s="14" t="n">
        <v>34440.87341980987</v>
      </c>
      <c r="E20" s="14" t="n">
        <v>46381.89373015777</v>
      </c>
    </row>
    <row r="23">
      <c r="B23" s="23" t="inlineStr">
        <is>
          <t>Qué pasaría si (cada fila cambia el caso base)</t>
        </is>
      </c>
    </row>
    <row r="24">
      <c r="B24" s="11" t="inlineStr">
        <is>
          <t>Cambio</t>
        </is>
      </c>
      <c r="C24" s="11" t="inlineStr">
        <is>
          <t>Capital</t>
        </is>
      </c>
      <c r="D24" s="11" t="inlineStr">
        <is>
          <t>VPN 15%</t>
        </is>
      </c>
      <c r="E24" s="11" t="inlineStr">
        <is>
          <t>TIR</t>
        </is>
      </c>
      <c r="F24" s="11" t="inlineStr">
        <is>
          <t>Múltiplo</t>
        </is>
      </c>
      <c r="G24" s="11" t="inlineStr">
        <is>
          <t>Ventas año 3</t>
        </is>
      </c>
    </row>
    <row r="25">
      <c r="B25" s="12" t="inlineStr">
        <is>
          <t>Caso base</t>
        </is>
      </c>
      <c r="C25" s="14" t="n">
        <v>392937.988920986</v>
      </c>
      <c r="D25" s="14" t="n">
        <v>-198692.758921373</v>
      </c>
      <c r="E25" s="20" t="n">
        <v>-0.1231665101213257</v>
      </c>
      <c r="F25" s="44" t="n">
        <v>0.6332683846227841</v>
      </c>
      <c r="G25" s="14" t="n">
        <v>176158.7977303777</v>
      </c>
    </row>
    <row r="26">
      <c r="B26" s="12" t="inlineStr">
        <is>
          <t>Crédito de la fábrica de 120 días, sin anticipo</t>
        </is>
      </c>
      <c r="C26" s="14" t="n">
        <v>350007.2215238342</v>
      </c>
      <c r="D26" s="14" t="n">
        <v>-183848.576768038</v>
      </c>
      <c r="E26" s="20" t="n">
        <v>-0.1343838259147169</v>
      </c>
      <c r="F26" s="44" t="n">
        <v>0.6029907493386156</v>
      </c>
      <c r="G26" s="14" t="n">
        <v>176158.7977303777</v>
      </c>
    </row>
    <row r="27">
      <c r="B27" s="12" t="inlineStr">
        <is>
          <t>Precio de fábrica a 1.05 veces la referencia</t>
        </is>
      </c>
      <c r="C27" s="14" t="n">
        <v>375529.2595242536</v>
      </c>
      <c r="D27" s="14" t="n">
        <v>-176387.9087602243</v>
      </c>
      <c r="E27" s="20" t="n">
        <v>-0.08896553656540196</v>
      </c>
      <c r="F27" s="44" t="n">
        <v>0.7181857193050778</v>
      </c>
      <c r="G27" s="14" t="n">
        <v>182698.0722724473</v>
      </c>
    </row>
    <row r="28">
      <c r="B28" s="12" t="inlineStr">
        <is>
          <t>Un socio coordina sin sueldo</t>
        </is>
      </c>
      <c r="C28" s="14" t="n">
        <v>338690.6446214305</v>
      </c>
      <c r="D28" s="14" t="n">
        <v>-146256.8501143093</v>
      </c>
      <c r="E28" s="20" t="n">
        <v>-0.06100413229000412</v>
      </c>
      <c r="F28" s="44" t="n">
        <v>0.7982033397453905</v>
      </c>
      <c r="G28" s="14" t="n">
        <v>176158.7977303777</v>
      </c>
    </row>
    <row r="29">
      <c r="B29" s="12" t="inlineStr">
        <is>
          <t>Colateral de 50% de la fianza</t>
        </is>
      </c>
      <c r="C29" s="14" t="n">
        <v>351663.2053804731</v>
      </c>
      <c r="D29" s="14" t="n">
        <v>-185533.3936370161</v>
      </c>
      <c r="E29" s="20" t="n">
        <v>-0.1296408381471202</v>
      </c>
      <c r="F29" s="44" t="n">
        <v>0.6093320554025768</v>
      </c>
      <c r="G29" s="14" t="n">
        <v>176158.7977303777</v>
      </c>
    </row>
    <row r="30">
      <c r="B30" s="12" t="inlineStr">
        <is>
          <t>Colateral de 100% de la fianza</t>
        </is>
      </c>
      <c r="C30" s="14" t="n">
        <v>434212.7724614988</v>
      </c>
      <c r="D30" s="14" t="n">
        <v>-211852.12420573</v>
      </c>
      <c r="E30" s="20" t="n">
        <v>-0.1178646387509127</v>
      </c>
      <c r="F30" s="44" t="n">
        <v>0.6526541023917536</v>
      </c>
      <c r="G30" s="14" t="n">
        <v>176158.7977303777</v>
      </c>
    </row>
    <row r="31">
      <c r="B31" s="12" t="inlineStr">
        <is>
          <t>La CSS prorroga la LPU vigente y la siguiente arranca en el mes 14</t>
        </is>
      </c>
      <c r="C31" s="14" t="n">
        <v>383615.0173086413</v>
      </c>
      <c r="D31" s="14" t="n">
        <v>-195869.8506610747</v>
      </c>
      <c r="E31" s="20" t="n">
        <v>-0.1003341367371343</v>
      </c>
      <c r="F31" s="44" t="n">
        <v>0.6744913185755171</v>
      </c>
      <c r="G31" s="14" t="n">
        <v>194082.3479727709</v>
      </c>
    </row>
    <row r="32">
      <c r="B32" s="12" t="inlineStr">
        <is>
          <t>El MINSA compra 50% de lo que pidió en la compra conjunta de 2023</t>
        </is>
      </c>
      <c r="C32" s="14" t="n">
        <v>384851.4003585788</v>
      </c>
      <c r="D32" s="14" t="n">
        <v>-172578.1196067595</v>
      </c>
      <c r="E32" s="20" t="n">
        <v>-0.07487329829830702</v>
      </c>
      <c r="F32" s="44" t="n">
        <v>0.7586201119703216</v>
      </c>
      <c r="G32" s="14" t="n">
        <v>198288.0298225947</v>
      </c>
    </row>
    <row r="33">
      <c r="B33" s="12" t="inlineStr">
        <is>
          <t>Más 6 productos de sistema nervioso (fabricante verificado)</t>
        </is>
      </c>
      <c r="C33" s="14" t="n">
        <v>391025.6836986788</v>
      </c>
      <c r="D33" s="14" t="n">
        <v>-147736.2054889357</v>
      </c>
      <c r="E33" s="20" t="n">
        <v>-0.01487380808194994</v>
      </c>
      <c r="F33" s="44" t="n">
        <v>0.9450415288698631</v>
      </c>
      <c r="G33" s="14" t="n">
        <v>247968.6056689775</v>
      </c>
    </row>
    <row r="34">
      <c r="B34" s="12" t="inlineStr">
        <is>
          <t>La fábrica paga los registros, da 180 días de crédito y precio 1.05</t>
        </is>
      </c>
      <c r="C34" s="14" t="n">
        <v>254121.9580146239</v>
      </c>
      <c r="D34" s="14" t="n">
        <v>-99076.58709069903</v>
      </c>
      <c r="E34" s="20" t="n">
        <v>-0.04249324295312795</v>
      </c>
      <c r="F34" s="44" t="n">
        <v>0.8594745024144518</v>
      </c>
      <c r="G34" s="14" t="n">
        <v>182698.0722724473</v>
      </c>
    </row>
    <row r="35">
      <c r="B35" s="12" t="inlineStr">
        <is>
          <t>Lo anterior y un socio coordina sin sueldo</t>
        </is>
      </c>
      <c r="C35" s="14" t="n">
        <v>207119.2828146239</v>
      </c>
      <c r="D35" s="14" t="n">
        <v>-54231.91036574621</v>
      </c>
      <c r="E35" s="20" t="n">
        <v>0.03463550243249025</v>
      </c>
      <c r="F35" s="44" t="n">
        <v>1.129179385741512</v>
      </c>
      <c r="G35" s="14" t="n">
        <v>182698.0722724473</v>
      </c>
    </row>
    <row r="36">
      <c r="B36" s="12" t="inlineStr">
        <is>
          <t>Lo anterior más sistema nervioso</t>
        </is>
      </c>
      <c r="C36" s="14" t="n">
        <v>201666.5274592238</v>
      </c>
      <c r="D36" s="14" t="n">
        <v>4663.268356379209</v>
      </c>
      <c r="E36" s="20" t="n">
        <v>0.1584053222761093</v>
      </c>
      <c r="F36" s="44" t="n">
        <v>1.720920304966544</v>
      </c>
      <c r="G36" s="14" t="n">
        <v>254292.9392258411</v>
      </c>
    </row>
    <row r="37">
      <c r="B37" s="12" t="inlineStr">
        <is>
          <t>Caso base con las tarifas legales de SignatureLex</t>
        </is>
      </c>
      <c r="C37" s="14" t="n">
        <v>417815.4889209859</v>
      </c>
      <c r="D37" s="14" t="n">
        <v>-222342.4213818359</v>
      </c>
      <c r="E37" s="20" t="n">
        <v>-0.1364609661570767</v>
      </c>
      <c r="F37" s="44" t="n">
        <v>0.5955624243216509</v>
      </c>
      <c r="G37" s="14" t="n">
        <v>176158.7977303777</v>
      </c>
    </row>
    <row r="38">
      <c r="B38" s="12" t="inlineStr">
        <is>
          <t>Solo los 4 productos que pagan su registro</t>
        </is>
      </c>
      <c r="C38" s="14" t="n">
        <v>346807.6807167808</v>
      </c>
      <c r="D38" s="14" t="n">
        <v>-157705.836139263</v>
      </c>
      <c r="E38" s="20" t="n">
        <v>-0.1064771796749633</v>
      </c>
      <c r="F38" s="44" t="n">
        <v>0.6913624721566353</v>
      </c>
      <c r="G38" s="14" t="n">
        <v>133525.4698313464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3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B1" s="6" t="inlineStr">
        <is>
          <t>Simulación de Monte Carlo: 20,000 escenarios por estructura (mismas semillas)</t>
        </is>
      </c>
    </row>
    <row r="2">
      <c r="B2" s="10" t="inlineStr">
        <is>
          <t>Cada escenario sortea los supuestos (triangular pesimista-base-optimista), los registros aprobados, cada renglón centralizado, fallas de planta o de suministro y las compuertas de decisión.</t>
        </is>
      </c>
    </row>
    <row r="4">
      <c r="B4" s="11" t="inlineStr">
        <is>
          <t>Estructura</t>
        </is>
      </c>
      <c r="C4" s="11" t="inlineStr">
        <is>
          <t>Se detiene en la fase 0</t>
        </is>
      </c>
      <c r="D4" s="11" t="inlineStr">
        <is>
          <t>Cierra en la compuerta operativa</t>
        </is>
      </c>
      <c r="E4" s="11" t="inlineStr">
        <is>
          <t>Falla de planta o suministro</t>
        </is>
      </c>
      <c r="F4" s="11" t="inlineStr">
        <is>
          <t>Prob. de perder dinero</t>
        </is>
      </c>
      <c r="G4" s="11" t="inlineStr">
        <is>
          <t>Prob. de perder más que la fase 0</t>
        </is>
      </c>
      <c r="H4" s="11" t="inlineStr">
        <is>
          <t>VPN 15% promedio</t>
        </is>
      </c>
      <c r="I4" s="11" t="inlineStr">
        <is>
          <t>Múltiplo mediano</t>
        </is>
      </c>
      <c r="J4" s="11" t="inlineStr">
        <is>
          <t>Capital mediano*</t>
        </is>
      </c>
      <c r="K4" s="11" t="inlineStr">
        <is>
          <t>Capital p80*</t>
        </is>
      </c>
    </row>
    <row r="5">
      <c r="B5" s="12" t="inlineStr">
        <is>
          <t>A. Propuesta de Rutul Patel tal cual</t>
        </is>
      </c>
      <c r="C5" s="20" t="n">
        <v>0</v>
      </c>
      <c r="D5" s="20" t="n">
        <v>0</v>
      </c>
      <c r="E5" s="20" t="n">
        <v>0.28735</v>
      </c>
      <c r="F5" s="20" t="n">
        <v>0.98995</v>
      </c>
      <c r="G5" s="20" t="n">
        <v>0.98915</v>
      </c>
      <c r="H5" s="14" t="n">
        <v>-241526.7622155904</v>
      </c>
      <c r="I5" s="44" t="n">
        <v>0.3440803101411151</v>
      </c>
      <c r="J5" s="14" t="n">
        <v>403969.9119002493</v>
      </c>
      <c r="K5" s="14" t="n">
        <v>512914.5984385405</v>
      </c>
      <c r="L5" s="14" t="n">
        <v>580249.1994396027</v>
      </c>
    </row>
    <row r="6">
      <c r="B6" s="12" t="inlineStr">
        <is>
          <t>B. Por etapas, mismos términos</t>
        </is>
      </c>
      <c r="C6" s="20" t="n">
        <v>0.20285</v>
      </c>
      <c r="D6" s="20" t="n">
        <v>0.3379</v>
      </c>
      <c r="E6" s="20" t="n">
        <v>0.10465</v>
      </c>
      <c r="F6" s="20" t="n">
        <v>0.99205</v>
      </c>
      <c r="G6" s="20" t="n">
        <v>0.7883</v>
      </c>
      <c r="H6" s="14" t="n">
        <v>-161936.8206150695</v>
      </c>
      <c r="I6" s="44" t="n">
        <v>0.174679404790704</v>
      </c>
      <c r="J6" s="14" t="n">
        <v>277612.2682818624</v>
      </c>
      <c r="K6" s="14" t="n">
        <v>472130.2679514411</v>
      </c>
      <c r="L6" s="14" t="n">
        <v>549283.6979399872</v>
      </c>
    </row>
    <row r="7">
      <c r="B7" s="12" t="inlineStr">
        <is>
          <t>C. Por etapas con términos negociados</t>
        </is>
      </c>
      <c r="C7" s="20" t="n">
        <v>0.11925</v>
      </c>
      <c r="D7" s="20" t="n">
        <v>0.30765</v>
      </c>
      <c r="E7" s="20" t="n">
        <v>0.12405</v>
      </c>
      <c r="F7" s="20" t="n">
        <v>0.97695</v>
      </c>
      <c r="G7" s="20" t="n">
        <v>0.8555</v>
      </c>
      <c r="H7" s="14" t="n">
        <v>-173847.8846222783</v>
      </c>
      <c r="I7" s="44" t="n">
        <v>0.230564323018647</v>
      </c>
      <c r="J7" s="14" t="n">
        <v>333236.1750197956</v>
      </c>
      <c r="K7" s="14" t="n">
        <v>465974.9616357227</v>
      </c>
      <c r="L7" s="14" t="n">
        <v>529575.1878087877</v>
      </c>
    </row>
    <row r="8">
      <c r="B8" s="12" t="inlineStr">
        <is>
          <t>D. Por etapas; la fábrica paga registros y da crédito</t>
        </is>
      </c>
      <c r="C8" s="20" t="n">
        <v>0.11925</v>
      </c>
      <c r="D8" s="20" t="n">
        <v>0.30695</v>
      </c>
      <c r="E8" s="20" t="n">
        <v>0.12425</v>
      </c>
      <c r="F8" s="20" t="n">
        <v>0.93165</v>
      </c>
      <c r="G8" s="20" t="n">
        <v>0.8075</v>
      </c>
      <c r="H8" s="14" t="n">
        <v>-122193.2434093025</v>
      </c>
      <c r="I8" s="44" t="n">
        <v>0.2733155935891806</v>
      </c>
      <c r="J8" s="14" t="n">
        <v>252401.901965895</v>
      </c>
      <c r="K8" s="14" t="n">
        <v>371373.9411225899</v>
      </c>
      <c r="L8" s="14" t="n">
        <v>427004.6966737359</v>
      </c>
    </row>
    <row r="9">
      <c r="B9" s="12" t="inlineStr">
        <is>
          <t>E. Registros más distribuidor establecido</t>
        </is>
      </c>
      <c r="C9" s="20" t="n">
        <v>0.2022</v>
      </c>
      <c r="D9" s="20" t="n">
        <v>0</v>
      </c>
      <c r="E9" s="20" t="n">
        <v>0</v>
      </c>
      <c r="F9" s="20" t="n">
        <v>0.98385</v>
      </c>
      <c r="G9" s="20" t="n">
        <v>0.77865</v>
      </c>
      <c r="H9" s="14" t="n">
        <v>-70133.13411410383</v>
      </c>
      <c r="I9" s="44" t="n">
        <v>0.1668985124828158</v>
      </c>
      <c r="J9" s="14" t="n">
        <v>117232.5325256032</v>
      </c>
      <c r="K9" s="14" t="n">
        <v>131448.5049305648</v>
      </c>
      <c r="L9" s="14" t="n">
        <v>139300.6947282383</v>
      </c>
    </row>
    <row r="10">
      <c r="B10" s="12" t="inlineStr">
        <is>
          <t>D más productos de sistema nervioso (si se verifica su fabricante)</t>
        </is>
      </c>
      <c r="C10" s="20" t="n">
        <v>0.11925</v>
      </c>
      <c r="D10" s="20" t="n">
        <v>0.10785</v>
      </c>
      <c r="E10" s="20" t="n">
        <v>0.15245</v>
      </c>
      <c r="F10" s="20" t="n">
        <v>0.6506999999999999</v>
      </c>
      <c r="G10" s="20" t="n">
        <v>0.5206499999999999</v>
      </c>
      <c r="H10" s="14" t="n">
        <v>-91177.33801870118</v>
      </c>
      <c r="I10" s="44" t="n">
        <v>0.7843474134698976</v>
      </c>
      <c r="J10" s="14" t="n">
        <v>276770.3379435123</v>
      </c>
      <c r="K10" s="14" t="n">
        <v>357822.6206962983</v>
      </c>
      <c r="L10" s="14" t="n">
        <v>404224.7741828827</v>
      </c>
    </row>
    <row r="11">
      <c r="B11" s="12" t="inlineStr">
        <is>
          <t>D con un socio como coordinador sin sueldo</t>
        </is>
      </c>
      <c r="C11" s="20" t="n">
        <v>0.11925</v>
      </c>
      <c r="D11" s="20" t="n">
        <v>0.30695</v>
      </c>
      <c r="E11" s="20" t="n">
        <v>0.12425</v>
      </c>
      <c r="F11" s="20" t="n">
        <v>0.8207</v>
      </c>
      <c r="G11" s="20" t="n">
        <v>0.69235</v>
      </c>
      <c r="H11" s="14" t="n">
        <v>-88105.31315460615</v>
      </c>
      <c r="I11" s="44" t="n">
        <v>0.350534876772312</v>
      </c>
      <c r="J11" s="14" t="n">
        <v>200522.709050072</v>
      </c>
      <c r="K11" s="14" t="n">
        <v>309097.2732595108</v>
      </c>
      <c r="L11" s="14" t="n">
        <v>360578.5974124155</v>
      </c>
    </row>
    <row r="12">
      <c r="B12" s="12" t="inlineStr">
        <is>
          <t>D más sistema nervioso y coordinador sin sueldo</t>
        </is>
      </c>
      <c r="C12" s="20" t="n">
        <v>0.11925</v>
      </c>
      <c r="D12" s="20" t="n">
        <v>0.10785</v>
      </c>
      <c r="E12" s="20" t="n">
        <v>0.15245</v>
      </c>
      <c r="F12" s="20" t="n">
        <v>0.4837</v>
      </c>
      <c r="G12" s="20" t="n">
        <v>0.3548</v>
      </c>
      <c r="H12" s="14" t="n">
        <v>-54632.98149840152</v>
      </c>
      <c r="I12" s="44" t="n">
        <v>1.030968418784095</v>
      </c>
      <c r="J12" s="14" t="n">
        <v>227974.6991998056</v>
      </c>
      <c r="K12" s="14" t="n">
        <v>305022.8707870186</v>
      </c>
      <c r="L12" s="14" t="n">
        <v>349159.3558588034</v>
      </c>
    </row>
    <row r="13">
      <c r="B13" s="12" t="inlineStr">
        <is>
          <t>D con colateral de 100% de la fianza</t>
        </is>
      </c>
      <c r="C13" s="20" t="n">
        <v>0.11925</v>
      </c>
      <c r="D13" s="20" t="n">
        <v>0.30695</v>
      </c>
      <c r="E13" s="20" t="n">
        <v>0.12425</v>
      </c>
      <c r="F13" s="20" t="n">
        <v>0.94335</v>
      </c>
      <c r="G13" s="20" t="n">
        <v>0.8192</v>
      </c>
      <c r="H13" s="14" t="n">
        <v>-134244.3090683899</v>
      </c>
      <c r="I13" s="44" t="n">
        <v>0.3404908782335647</v>
      </c>
      <c r="J13" s="14" t="n">
        <v>304425.9866690554</v>
      </c>
      <c r="K13" s="14" t="n">
        <v>447792.3349017084</v>
      </c>
      <c r="L13" s="14" t="n">
        <v>513132.9910763496</v>
      </c>
    </row>
    <row r="14">
      <c r="B14" s="12" t="inlineStr">
        <is>
          <t>D con prueba de precio estricta en la fase 0 (1.1 veces la referencia)</t>
        </is>
      </c>
      <c r="C14" s="20" t="n">
        <v>0.52175</v>
      </c>
      <c r="D14" s="20" t="n">
        <v>0.15865</v>
      </c>
      <c r="E14" s="20" t="n">
        <v>0.06645</v>
      </c>
      <c r="F14" s="20" t="n">
        <v>0.9560999999999999</v>
      </c>
      <c r="G14" s="20" t="n">
        <v>0.43115</v>
      </c>
      <c r="H14" s="14" t="n">
        <v>-67456.73441016677</v>
      </c>
      <c r="I14" s="44" t="n">
        <v>0</v>
      </c>
      <c r="J14" s="14" t="n">
        <v>260841.8658228375</v>
      </c>
      <c r="K14" s="14" t="n">
        <v>372063.1097380665</v>
      </c>
      <c r="L14" s="14" t="n">
        <v>426928.0466689822</v>
      </c>
    </row>
    <row r="15">
      <c r="B15" s="10" t="inlineStr">
        <is>
          <t>* Máximo acumulado que aportan los socios (aportes más fase 0, sin valor terminal), en los escenarios que pasan la fase 0.</t>
        </is>
      </c>
    </row>
    <row r="17">
      <c r="B17" s="23" t="inlineStr">
        <is>
          <t>Lo que arriesga un socio panameño (un sexto del capital y de las utilidades más un tercio de la fase 0; un tercio en la estructura E)</t>
        </is>
      </c>
    </row>
    <row r="18">
      <c r="B18" s="11" t="inlineStr">
        <is>
          <t>Estructura</t>
        </is>
      </c>
      <c r="C18" s="11" t="inlineStr">
        <is>
          <t>Capital mediano si sigue</t>
        </is>
      </c>
      <c r="D18" s="11" t="inlineStr">
        <is>
          <t>Capital p90 si sigue</t>
        </is>
      </c>
      <c r="E18" s="11" t="inlineStr">
        <is>
          <t>Resultado neto promedio</t>
        </is>
      </c>
      <c r="F18" s="11" t="inlineStr">
        <is>
          <t>Prob. de perder</t>
        </is>
      </c>
      <c r="G18" s="11" t="inlineStr">
        <is>
          <t>Resultado neto p90</t>
        </is>
      </c>
    </row>
    <row r="19">
      <c r="B19" s="12" t="inlineStr">
        <is>
          <t>A. Propuesta de Rutul Patel tal cual</t>
        </is>
      </c>
      <c r="C19" s="14" t="n">
        <v>68018.42197487189</v>
      </c>
      <c r="D19" s="14" t="n">
        <v>97363.87266841835</v>
      </c>
      <c r="E19" s="14" t="n">
        <v>-40438.78944855986</v>
      </c>
      <c r="F19" s="20" t="n">
        <v>0.9908</v>
      </c>
      <c r="G19" s="14" t="n">
        <v>-21429.05816790805</v>
      </c>
    </row>
    <row r="20">
      <c r="B20" s="12" t="inlineStr">
        <is>
          <t>B. Por etapas, mismos términos</t>
        </is>
      </c>
      <c r="C20" s="14" t="n">
        <v>47008.72846503975</v>
      </c>
      <c r="D20" s="14" t="n">
        <v>92296.02758559588</v>
      </c>
      <c r="E20" s="14" t="n">
        <v>-26380.45891560251</v>
      </c>
      <c r="F20" s="20" t="n">
        <v>0.99275</v>
      </c>
      <c r="G20" s="14" t="n">
        <v>-1333.556532785007</v>
      </c>
    </row>
    <row r="21">
      <c r="B21" s="12" t="inlineStr">
        <is>
          <t>C. Por etapas con términos negociados</t>
        </is>
      </c>
      <c r="C21" s="14" t="n">
        <v>56269.83590610274</v>
      </c>
      <c r="D21" s="14" t="n">
        <v>88978.27423035786</v>
      </c>
      <c r="E21" s="14" t="n">
        <v>-27045.89284831961</v>
      </c>
      <c r="F21" s="20" t="n">
        <v>0.97865</v>
      </c>
      <c r="G21" s="14" t="n">
        <v>-1545.09750526303</v>
      </c>
    </row>
    <row r="22">
      <c r="B22" s="12" t="inlineStr">
        <is>
          <t>D. Por etapas; la fábrica paga registros y da crédito</t>
        </is>
      </c>
      <c r="C22" s="14" t="n">
        <v>42752.98090071263</v>
      </c>
      <c r="D22" s="14" t="n">
        <v>71900.89932785562</v>
      </c>
      <c r="E22" s="14" t="n">
        <v>-18183.61347526393</v>
      </c>
      <c r="F22" s="20" t="n">
        <v>0.9360000000000001</v>
      </c>
      <c r="G22" s="14" t="n">
        <v>-1123.743066108145</v>
      </c>
    </row>
    <row r="23">
      <c r="B23" s="12" t="inlineStr">
        <is>
          <t>E. Registros más distribuidor establecido</t>
        </is>
      </c>
      <c r="C23" s="14" t="n">
        <v>39077.51084186771</v>
      </c>
      <c r="D23" s="14" t="n">
        <v>46433.56490941276</v>
      </c>
      <c r="E23" s="14" t="n">
        <v>-23242.40424563521</v>
      </c>
      <c r="F23" s="20" t="n">
        <v>0.98385</v>
      </c>
      <c r="G23" s="14" t="n">
        <v>-1223.602750196711</v>
      </c>
    </row>
    <row r="24">
      <c r="B24" s="12" t="inlineStr">
        <is>
          <t>D más productos de sistema nervioso (si se verifica su fabricante)</t>
        </is>
      </c>
      <c r="C24" s="14" t="n">
        <v>46840.95424086895</v>
      </c>
      <c r="D24" s="14" t="n">
        <v>68090.77903400685</v>
      </c>
      <c r="E24" s="14" t="n">
        <v>-5844.529292587128</v>
      </c>
      <c r="F24" s="20" t="n">
        <v>0.6625</v>
      </c>
      <c r="G24" s="14" t="n">
        <v>17968.78498919589</v>
      </c>
    </row>
    <row r="25">
      <c r="B25" s="12" t="inlineStr">
        <is>
          <t>D con un socio como coordinador sin sueldo</t>
        </is>
      </c>
      <c r="C25" s="14" t="n">
        <v>34118.04034298623</v>
      </c>
      <c r="D25" s="14" t="n">
        <v>60776.68794187457</v>
      </c>
      <c r="E25" s="14" t="n">
        <v>-10478.32917369867</v>
      </c>
      <c r="F25" s="20" t="n">
        <v>0.8300999999999999</v>
      </c>
      <c r="G25" s="14" t="n">
        <v>5941.696201418631</v>
      </c>
    </row>
    <row r="26">
      <c r="B26" s="12" t="inlineStr">
        <is>
          <t>D más sistema nervioso y coordinador sin sueldo</t>
        </is>
      </c>
      <c r="C26" s="14" t="n">
        <v>38713.8915504849</v>
      </c>
      <c r="D26" s="14" t="n">
        <v>58891.03006631183</v>
      </c>
      <c r="E26" s="14" t="n">
        <v>2420.584325522921</v>
      </c>
      <c r="F26" s="20" t="n">
        <v>0.4926</v>
      </c>
      <c r="G26" s="14" t="n">
        <v>27957.53571995132</v>
      </c>
    </row>
    <row r="27">
      <c r="B27" s="12" t="inlineStr">
        <is>
          <t>D con colateral de 100% de la fianza</t>
        </is>
      </c>
      <c r="C27" s="14" t="n">
        <v>51469.20735156454</v>
      </c>
      <c r="D27" s="14" t="n">
        <v>86207.70283543823</v>
      </c>
      <c r="E27" s="14" t="n">
        <v>-19361.12055964272</v>
      </c>
      <c r="F27" s="20" t="n">
        <v>0.947</v>
      </c>
      <c r="G27" s="14" t="n">
        <v>-1212.926316191447</v>
      </c>
    </row>
    <row r="28">
      <c r="B28" s="12" t="inlineStr">
        <is>
          <t>D con prueba de precio estricta en la fase 0 (1.1 veces la referencia)</t>
        </is>
      </c>
      <c r="C28" s="14" t="n">
        <v>44155.24365537205</v>
      </c>
      <c r="D28" s="14" t="n">
        <v>71879.40164983823</v>
      </c>
      <c r="E28" s="14" t="n">
        <v>-10101.26665813037</v>
      </c>
      <c r="F28" s="20" t="n">
        <v>0.95885</v>
      </c>
      <c r="G28" s="14" t="n">
        <v>-937.5842042166602</v>
      </c>
    </row>
    <row r="29">
      <c r="B29" s="12" t="inlineStr">
        <is>
          <t>D con Rutul Patel aportando 70% del efectivo</t>
        </is>
      </c>
      <c r="C29" s="14" t="n">
        <v>26199.27450405085</v>
      </c>
      <c r="D29" s="14" t="n">
        <v>43752.01367669849</v>
      </c>
      <c r="E29" s="14" t="n">
        <v>-2909.686902555771</v>
      </c>
      <c r="F29" s="20" t="n">
        <v>0.7129</v>
      </c>
      <c r="G29" s="14" t="n">
        <v>17536.87206075913</v>
      </c>
    </row>
    <row r="30">
      <c r="B30" s="12" t="inlineStr">
        <is>
          <t>D con Rutul Patel aportando 80% del efectivo</t>
        </is>
      </c>
      <c r="C30" s="14" t="n">
        <v>17889.13041669067</v>
      </c>
      <c r="D30" s="14" t="n">
        <v>29653.16765019082</v>
      </c>
      <c r="E30" s="14" t="n">
        <v>4727.276383798304</v>
      </c>
      <c r="F30" s="20" t="n">
        <v>0.60555</v>
      </c>
      <c r="G30" s="14" t="n">
        <v>29399.0204954875</v>
      </c>
    </row>
    <row r="32">
      <c r="B32" s="23" t="inlineStr">
        <is>
          <t>Supuestos de riesgo de la simulación</t>
        </is>
      </c>
    </row>
    <row r="33" ht="28" customHeight="1">
      <c r="B33" s="12" t="inlineStr">
        <is>
          <t>Planta con problemas de BPM: 15% de probabilidad; la fase 0 lo detecta 80% de las veces; si no, falla de calidad entre los meses 12 y 36, se ejecuta la fianza y se pierde el inventario.</t>
        </is>
      </c>
    </row>
    <row r="34" ht="28" customHeight="1">
      <c r="B34" s="12" t="inlineStr">
        <is>
          <t>Ruptura del suministro por otras causas: 4% anual desde el mes 7, con ejecución de fianzas.</t>
        </is>
      </c>
    </row>
    <row r="35" ht="28" customHeight="1">
      <c r="B35" s="12" t="inlineStr">
        <is>
          <t>Fase 0: se descarta el trato si se detecta el problema de planta o si el precio de la fábrica supera 1.6 veces la referencia (1.1 en la variante estricta).</t>
        </is>
      </c>
    </row>
    <row r="36" ht="28" customHeight="1">
      <c r="B36" s="12" t="inlineStr">
        <is>
          <t>Compuerta operativa: 9 meses después de la primera venta, si las ventas anualizadas (más los contratos centralizados por arrancar) no llegan a B/.90,000, se cierra y no se hace la segunda ola.</t>
        </is>
      </c>
    </row>
    <row r="37" ht="28" customHeight="1">
      <c r="B37" s="12" t="inlineStr">
        <is>
          <t>Correlaciones: participación descentralizada y probabilidad de ganar (0.6); mercado débil y mayor caída de precios (0.4); factor común de costos fijos (0.5).</t>
        </is>
      </c>
    </row>
  </sheetData>
  <mergeCells count="5">
    <mergeCell ref="B35:K35"/>
    <mergeCell ref="B34:K34"/>
    <mergeCell ref="B33:K33"/>
    <mergeCell ref="B36:K36"/>
    <mergeCell ref="B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27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6" t="inlineStr">
        <is>
          <t>Sensibilidad del VPN al 15% y del capital (un supuesto a la vez, el resto en la base)</t>
        </is>
      </c>
    </row>
    <row r="2">
      <c r="B2" s="10" t="inlineStr">
        <is>
          <t>VPN base: B/.-198,693. Capital base: B/.392,938.</t>
        </is>
      </c>
    </row>
    <row r="4">
      <c r="B4" s="11" t="inlineStr">
        <is>
          <t>Supuesto</t>
        </is>
      </c>
      <c r="C4" s="11" t="inlineStr">
        <is>
          <t>Valor pesimista</t>
        </is>
      </c>
      <c r="D4" s="11" t="inlineStr">
        <is>
          <t>Valor optimista</t>
        </is>
      </c>
      <c r="E4" s="11" t="inlineStr">
        <is>
          <t>VPN pesimista</t>
        </is>
      </c>
      <c r="F4" s="11" t="inlineStr">
        <is>
          <t>VPN optimista</t>
        </is>
      </c>
      <c r="G4" s="11" t="inlineStr">
        <is>
          <t>Rango del VPN</t>
        </is>
      </c>
      <c r="H4" s="11" t="inlineStr">
        <is>
          <t>Capital pesimista</t>
        </is>
      </c>
      <c r="I4" s="11" t="inlineStr">
        <is>
          <t>Capital optimista</t>
        </is>
      </c>
    </row>
    <row r="5">
      <c r="B5" s="12" t="inlineStr">
        <is>
          <t>Costos fijos mensuales con cargas e ITBMS (bloque)</t>
        </is>
      </c>
      <c r="C5" s="9" t="n">
        <v>7824.5</v>
      </c>
      <c r="D5" s="9" t="n">
        <v>2986</v>
      </c>
      <c r="E5" s="14" t="n">
        <v>-328447.4134030846</v>
      </c>
      <c r="F5" s="14" t="n">
        <v>-138267.7788415737</v>
      </c>
      <c r="G5" s="14">
        <f>F5-E5</f>
        <v/>
      </c>
      <c r="H5" s="14" t="n">
        <v>546099.5265205839</v>
      </c>
      <c r="I5" s="14" t="n">
        <v>329838.4049414305</v>
      </c>
    </row>
    <row r="6">
      <c r="B6" s="12" t="inlineStr">
        <is>
          <t>Índice del precio de la fábrica frente a la referencia FOB</t>
        </is>
      </c>
      <c r="C6" s="9" t="n">
        <v>1.8</v>
      </c>
      <c r="D6" s="9" t="n">
        <v>1</v>
      </c>
      <c r="E6" s="14" t="n">
        <v>-223892.3336772754</v>
      </c>
      <c r="F6" s="14" t="n">
        <v>-169432.5379766415</v>
      </c>
      <c r="G6" s="14">
        <f>F6-E6</f>
        <v/>
      </c>
      <c r="H6" s="14" t="n">
        <v>368864.9604528522</v>
      </c>
      <c r="I6" s="14" t="n">
        <v>372190.8062493597</v>
      </c>
    </row>
    <row r="7">
      <c r="B7" s="12" t="inlineStr">
        <is>
          <t>Caída anual de precios a partir del año 2</t>
        </is>
      </c>
      <c r="C7" s="9" t="n">
        <v>0.06</v>
      </c>
      <c r="D7" s="9" t="n">
        <v>0</v>
      </c>
      <c r="E7" s="14" t="n">
        <v>-224421.4160726953</v>
      </c>
      <c r="F7" s="14" t="n">
        <v>-172355.4761291275</v>
      </c>
      <c r="G7" s="14">
        <f>F7-E7</f>
        <v/>
      </c>
      <c r="H7" s="14" t="n">
        <v>409187.2656907371</v>
      </c>
      <c r="I7" s="14" t="n">
        <v>380389.9947391875</v>
      </c>
    </row>
    <row r="8">
      <c r="B8" s="12" t="inlineStr">
        <is>
          <t>Participación madura en compras descentralizadas (valor)</t>
        </is>
      </c>
      <c r="C8" s="9" t="n">
        <v>0.1</v>
      </c>
      <c r="D8" s="9" t="n">
        <v>0.32</v>
      </c>
      <c r="E8" s="14" t="n">
        <v>-226885.797092441</v>
      </c>
      <c r="F8" s="14" t="n">
        <v>-176193.4799382402</v>
      </c>
      <c r="G8" s="14">
        <f>F8-E8</f>
        <v/>
      </c>
      <c r="H8" s="14" t="n">
        <v>408864.0591253622</v>
      </c>
      <c r="I8" s="14" t="n">
        <v>383897.7727953219</v>
      </c>
    </row>
    <row r="9">
      <c r="B9" s="12" t="inlineStr">
        <is>
          <t>Colateral en efectivo que pide la aseguradora o el banco (% de la fianza)</t>
        </is>
      </c>
      <c r="C9" s="9" t="n">
        <v>1</v>
      </c>
      <c r="D9" s="9" t="n">
        <v>0.25</v>
      </c>
      <c r="E9" s="14" t="n">
        <v>-211852.12420573</v>
      </c>
      <c r="F9" s="14" t="n">
        <v>-172572.5748813284</v>
      </c>
      <c r="G9" s="14">
        <f>F9-E9</f>
        <v/>
      </c>
      <c r="H9" s="14" t="n">
        <v>434212.7724614988</v>
      </c>
      <c r="I9" s="14" t="n">
        <v>312118.0112346699</v>
      </c>
    </row>
    <row r="10">
      <c r="B10" s="12" t="inlineStr">
        <is>
          <t>Parte de la cantidad de la compra conjunta de 2023 que se toma como demanda del MINSA</t>
        </is>
      </c>
      <c r="C10" s="9" t="n">
        <v>0</v>
      </c>
      <c r="D10" s="9" t="n">
        <v>0.5</v>
      </c>
      <c r="E10" s="14" t="n">
        <v>-210168.0876932347</v>
      </c>
      <c r="F10" s="14" t="n">
        <v>-172578.1196067595</v>
      </c>
      <c r="G10" s="14">
        <f>F10-E10</f>
        <v/>
      </c>
      <c r="H10" s="14" t="n">
        <v>398786.3037511055</v>
      </c>
      <c r="I10" s="14" t="n">
        <v>384851.4003585788</v>
      </c>
    </row>
    <row r="11">
      <c r="B11" s="12" t="inlineStr">
        <is>
          <t>Probabilidad de ganar un renglón centralizado en el que se oferta</t>
        </is>
      </c>
      <c r="C11" s="9" t="n">
        <v>0.15</v>
      </c>
      <c r="D11" s="9" t="n">
        <v>0.45</v>
      </c>
      <c r="E11" s="14" t="n">
        <v>-216865.7144601127</v>
      </c>
      <c r="F11" s="14" t="n">
        <v>-186584.5816045638</v>
      </c>
      <c r="G11" s="14">
        <f>F11-E11</f>
        <v/>
      </c>
      <c r="H11" s="14" t="n">
        <v>366102.8738230804</v>
      </c>
      <c r="I11" s="14" t="n">
        <v>456993.2159546945</v>
      </c>
    </row>
    <row r="12">
      <c r="B12" s="12" t="inlineStr">
        <is>
          <t>Productos de la segunda ola (sin equivalencia terapéutica, fabricación verificada)</t>
        </is>
      </c>
      <c r="C12" s="9" t="n">
        <v>0</v>
      </c>
      <c r="D12" s="9" t="n">
        <v>12</v>
      </c>
      <c r="E12" s="14" t="n">
        <v>-185654.2314283854</v>
      </c>
      <c r="F12" s="14" t="n">
        <v>-212540.7872288765</v>
      </c>
      <c r="G12" s="14">
        <f>F12-E12</f>
        <v/>
      </c>
      <c r="H12" s="14" t="n">
        <v>319237.5369424171</v>
      </c>
      <c r="I12" s="14" t="n">
        <v>467461.204451691</v>
      </c>
    </row>
    <row r="13">
      <c r="B13" s="12" t="inlineStr">
        <is>
          <t>Cantidad comprada frente a la máxima del contrato de la LPU</t>
        </is>
      </c>
      <c r="C13" s="9" t="n">
        <v>0.55</v>
      </c>
      <c r="D13" s="9" t="n">
        <v>0.9</v>
      </c>
      <c r="E13" s="14" t="n">
        <v>-211575.2973605898</v>
      </c>
      <c r="F13" s="14" t="n">
        <v>-189096.4365311863</v>
      </c>
      <c r="G13" s="14">
        <f>F13-E13</f>
        <v/>
      </c>
      <c r="H13" s="14" t="n">
        <v>391110.2780902667</v>
      </c>
      <c r="I13" s="14" t="n">
        <v>394437.4237585106</v>
      </c>
    </row>
    <row r="14">
      <c r="B14" s="12" t="inlineStr">
        <is>
          <t>Días de cobro: entrega hasta cobro</t>
        </is>
      </c>
      <c r="C14" s="9" t="n">
        <v>240</v>
      </c>
      <c r="D14" s="9" t="n">
        <v>105</v>
      </c>
      <c r="E14" s="14" t="n">
        <v>-214445.9545827128</v>
      </c>
      <c r="F14" s="14" t="n">
        <v>-193003.3384886285</v>
      </c>
      <c r="G14" s="14">
        <f>F14-E14</f>
        <v/>
      </c>
      <c r="H14" s="14" t="n">
        <v>447565.7161035886</v>
      </c>
      <c r="I14" s="14" t="n">
        <v>374513.0951764134</v>
      </c>
    </row>
    <row r="15">
      <c r="B15" s="12" t="inlineStr">
        <is>
          <t>Precio de oferta descentralizado frente al precio ponderado actual</t>
        </is>
      </c>
      <c r="C15" s="9" t="n">
        <v>0.8</v>
      </c>
      <c r="D15" s="9" t="n">
        <v>0.95</v>
      </c>
      <c r="E15" s="14" t="n">
        <v>-210990.939067518</v>
      </c>
      <c r="F15" s="14" t="n">
        <v>-191914.6191428568</v>
      </c>
      <c r="G15" s="14">
        <f>F15-E15</f>
        <v/>
      </c>
      <c r="H15" s="14" t="n">
        <v>403653.6489255751</v>
      </c>
      <c r="I15" s="14" t="n">
        <v>388683.617572016</v>
      </c>
    </row>
    <row r="16">
      <c r="B16" s="12" t="inlineStr">
        <is>
          <t>Factor de mercado (demanda futura frente a 2025-2026)</t>
        </is>
      </c>
      <c r="C16" s="9" t="n">
        <v>0.75</v>
      </c>
      <c r="D16" s="9" t="n">
        <v>1</v>
      </c>
      <c r="E16" s="14" t="n">
        <v>-210044.6940082464</v>
      </c>
      <c r="F16" s="14" t="n">
        <v>-191303.1413229703</v>
      </c>
      <c r="G16" s="14">
        <f>F16-E16</f>
        <v/>
      </c>
      <c r="H16" s="14" t="n">
        <v>376847.7379807483</v>
      </c>
      <c r="I16" s="14" t="n">
        <v>404078.5408787696</v>
      </c>
    </row>
    <row r="17">
      <c r="B17" s="12" t="inlineStr">
        <is>
          <t>Análisis de control previo (IEA o INDICASAT) por producto</t>
        </is>
      </c>
      <c r="C17" s="9" t="n">
        <v>2000</v>
      </c>
      <c r="D17" s="9" t="n">
        <v>1000</v>
      </c>
      <c r="E17" s="14" t="n">
        <v>-206436.5260299644</v>
      </c>
      <c r="F17" s="14" t="n">
        <v>-190948.9918127817</v>
      </c>
      <c r="G17" s="14">
        <f>F17-E17</f>
        <v/>
      </c>
      <c r="H17" s="14" t="n">
        <v>401437.9889209859</v>
      </c>
      <c r="I17" s="14" t="n">
        <v>384437.9889209859</v>
      </c>
    </row>
    <row r="18">
      <c r="B18" s="12" t="inlineStr">
        <is>
          <t>Registros aprobados / presentados</t>
        </is>
      </c>
      <c r="C18" s="9" t="n">
        <v>0.7</v>
      </c>
      <c r="D18" s="9" t="n">
        <v>0.95</v>
      </c>
      <c r="E18" s="14" t="n">
        <v>-207129.1996762248</v>
      </c>
      <c r="F18" s="14" t="n">
        <v>-193201.1271640944</v>
      </c>
      <c r="G18" s="14">
        <f>F18-E18</f>
        <v/>
      </c>
      <c r="H18" s="14" t="n">
        <v>371971.4999129465</v>
      </c>
      <c r="I18" s="14" t="n">
        <v>407218.9174645216</v>
      </c>
    </row>
    <row r="19">
      <c r="B19" s="12" t="inlineStr">
        <is>
          <t>Mermas y vencimientos (% del costo comprado)</t>
        </is>
      </c>
      <c r="C19" s="9" t="n">
        <v>0.08</v>
      </c>
      <c r="D19" s="9" t="n">
        <v>0.015</v>
      </c>
      <c r="E19" s="14" t="n">
        <v>-206465.3745804783</v>
      </c>
      <c r="F19" s="14" t="n">
        <v>-193835.2187915406</v>
      </c>
      <c r="G19" s="14">
        <f>F19-E19</f>
        <v/>
      </c>
      <c r="H19" s="14" t="n">
        <v>401452.2305618773</v>
      </c>
      <c r="I19" s="14" t="n">
        <v>387616.5878954289</v>
      </c>
    </row>
    <row r="20">
      <c r="B20" s="12" t="inlineStr">
        <is>
          <t>Crédito de la fábrica desde el embarque</t>
        </is>
      </c>
      <c r="C20" s="9" t="n">
        <v>0</v>
      </c>
      <c r="D20" s="9" t="n">
        <v>120</v>
      </c>
      <c r="E20" s="14" t="n">
        <v>-198692.758921373</v>
      </c>
      <c r="F20" s="14" t="n">
        <v>-189024.9765651919</v>
      </c>
      <c r="G20" s="14">
        <f>F20-E20</f>
        <v/>
      </c>
      <c r="H20" s="14" t="n">
        <v>392937.988920986</v>
      </c>
      <c r="I20" s="14" t="n">
        <v>364985.2454744953</v>
      </c>
    </row>
    <row r="21">
      <c r="B21" s="12" t="inlineStr">
        <is>
          <t>Probabilidad de que el MINSA haga su compra centralizada en el año</t>
        </is>
      </c>
      <c r="C21" s="9" t="n">
        <v>0.3</v>
      </c>
      <c r="D21" s="9" t="n">
        <v>0.7</v>
      </c>
      <c r="E21" s="14" t="n">
        <v>-203280.4334356618</v>
      </c>
      <c r="F21" s="14" t="n">
        <v>-194105.0844070842</v>
      </c>
      <c r="G21" s="14">
        <f>F21-E21</f>
        <v/>
      </c>
      <c r="H21" s="14" t="n">
        <v>395277.3148530337</v>
      </c>
      <c r="I21" s="14" t="n">
        <v>390598.6629889381</v>
      </c>
    </row>
    <row r="22">
      <c r="B22" s="12" t="inlineStr">
        <is>
          <t>Meses para llegar a la participación madura en compras descentralizadas</t>
        </is>
      </c>
      <c r="C22" s="9" t="n">
        <v>18</v>
      </c>
      <c r="D22" s="9" t="n">
        <v>9</v>
      </c>
      <c r="E22" s="14" t="n">
        <v>-204202.9471275882</v>
      </c>
      <c r="F22" s="14" t="n">
        <v>-195726.7662051287</v>
      </c>
      <c r="G22" s="14">
        <f>F22-E22</f>
        <v/>
      </c>
      <c r="H22" s="14" t="n">
        <v>401217.0456048609</v>
      </c>
      <c r="I22" s="14" t="n">
        <v>388439.9632285736</v>
      </c>
    </row>
    <row r="23">
      <c r="B23" s="12" t="inlineStr">
        <is>
          <t>Multiplicador del costo logístico (flete LCL, destino, corredor, seguro)</t>
        </is>
      </c>
      <c r="C23" s="9" t="n">
        <v>2.2</v>
      </c>
      <c r="D23" s="9" t="n">
        <v>0.8</v>
      </c>
      <c r="E23" s="14" t="n">
        <v>-192682.3786853023</v>
      </c>
      <c r="F23" s="14" t="n">
        <v>-185695.9571421767</v>
      </c>
      <c r="G23" s="14">
        <f>F23-E23</f>
        <v/>
      </c>
      <c r="H23" s="14" t="n">
        <v>294539.9275341209</v>
      </c>
      <c r="I23" s="14" t="n">
        <v>399212.6039981513</v>
      </c>
    </row>
    <row r="24">
      <c r="B24" s="12" t="inlineStr">
        <is>
          <t>Mes en que salen los registros sanitarios (presentados en el mes 3)</t>
        </is>
      </c>
      <c r="C24" s="9" t="n">
        <v>12</v>
      </c>
      <c r="D24" s="9" t="n">
        <v>7</v>
      </c>
      <c r="E24" s="14" t="n">
        <v>-202792.0710730963</v>
      </c>
      <c r="F24" s="14" t="n">
        <v>-195831.0546674679</v>
      </c>
      <c r="G24" s="14">
        <f>F24-E24</f>
        <v/>
      </c>
      <c r="H24" s="14" t="n">
        <v>399881.3891154018</v>
      </c>
      <c r="I24" s="14" t="n">
        <v>388351.0893419504</v>
      </c>
    </row>
    <row r="25">
      <c r="B25" s="12" t="inlineStr">
        <is>
          <t>Prima anual de la fianza</t>
        </is>
      </c>
      <c r="C25" s="9" t="n">
        <v>0.04</v>
      </c>
      <c r="D25" s="9" t="n">
        <v>0.013</v>
      </c>
      <c r="E25" s="14" t="n">
        <v>-201681.1217384212</v>
      </c>
      <c r="F25" s="14" t="n">
        <v>-196302.0686677346</v>
      </c>
      <c r="G25" s="14">
        <f>F25-E25</f>
        <v/>
      </c>
      <c r="H25" s="14" t="n">
        <v>395874.0087297743</v>
      </c>
      <c r="I25" s="14" t="n">
        <v>390589.1730739553</v>
      </c>
    </row>
    <row r="26">
      <c r="B26" s="12" t="inlineStr">
        <is>
          <t>Anticipo a la fábrica al colocar la orden</t>
        </is>
      </c>
      <c r="C26" s="9" t="n">
        <v>1</v>
      </c>
      <c r="D26" s="9" t="n">
        <v>0</v>
      </c>
      <c r="E26" s="14" t="n">
        <v>-201103.2848507945</v>
      </c>
      <c r="F26" s="14" t="n">
        <v>-197659.6763801925</v>
      </c>
      <c r="G26" s="14">
        <f>F26-E26</f>
        <v/>
      </c>
      <c r="H26" s="14" t="n">
        <v>399933.9680260378</v>
      </c>
      <c r="I26" s="14" t="n">
        <v>389939.712161678</v>
      </c>
    </row>
    <row r="27">
      <c r="B27" s="12" t="inlineStr">
        <is>
          <t>Mes en que podría arrancar el primer contrato centralizado (calendario de la LPU)</t>
        </is>
      </c>
      <c r="C27" s="9" t="n">
        <v>27</v>
      </c>
      <c r="D27" s="9" t="n">
        <v>14</v>
      </c>
      <c r="E27" s="14" t="n">
        <v>-198702.4909615664</v>
      </c>
      <c r="F27" s="14" t="n">
        <v>-195869.8506610747</v>
      </c>
      <c r="G27" s="14">
        <f>F27-E27</f>
        <v/>
      </c>
      <c r="H27" s="14" t="n">
        <v>408914.1351236388</v>
      </c>
      <c r="I27" s="14" t="n">
        <v>383615.0173086413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</cols>
  <sheetData>
    <row r="1">
      <c r="B1" s="6" t="inlineStr">
        <is>
          <t>Presupuesto de vida útil (regla de 18 meses al entregar)</t>
        </is>
      </c>
    </row>
    <row r="3">
      <c r="B3" s="9" t="inlineStr">
        <is>
          <t>Vida útil aprobada del producto (meses)</t>
        </is>
      </c>
      <c r="C3" s="45" t="n">
        <v>24</v>
      </c>
    </row>
    <row r="4">
      <c r="B4" s="9" t="inlineStr">
        <is>
          <t>Vida útil mínima exigida al entregar (pliego de la LPU)</t>
        </is>
      </c>
      <c r="C4" s="46" t="n">
        <v>18</v>
      </c>
    </row>
    <row r="5">
      <c r="B5" s="9" t="inlineStr">
        <is>
          <t>Liberación en fábrica y despacho (meses)</t>
        </is>
      </c>
      <c r="C5" s="47" t="n">
        <v>1</v>
      </c>
    </row>
    <row r="6">
      <c r="B6" s="9" t="inlineStr">
        <is>
          <t>Tránsito y aduana (meses)</t>
        </is>
      </c>
      <c r="C6" s="48">
        <f>p_ship_m</f>
        <v/>
      </c>
    </row>
    <row r="7">
      <c r="B7" s="9" t="inlineStr">
        <is>
          <t>Pedido a entrega en hospital (meses)</t>
        </is>
      </c>
      <c r="C7" s="22" t="n">
        <v>0.25</v>
      </c>
    </row>
    <row r="8">
      <c r="B8" s="7" t="inlineStr">
        <is>
          <t>Tiempo máximo que puede pasar en bodega (meses)</t>
        </is>
      </c>
      <c r="C8" s="49">
        <f>C3-C4-C5-C6-C7</f>
        <v/>
      </c>
    </row>
    <row r="10">
      <c r="B10" s="10" t="inlineStr">
        <is>
          <t>Con 24 meses de vida útil caben unos 2.75 meses en bodega: reposición mensual y poco inventario. Con 36 meses caben casi 15.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7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00" customWidth="1" min="3" max="3"/>
  </cols>
  <sheetData>
    <row r="1">
      <c r="B1" s="6" t="inlineStr">
        <is>
          <t>Fuentes principales</t>
        </is>
      </c>
    </row>
    <row r="3">
      <c r="B3" s="11" t="inlineStr">
        <is>
          <t>Fuente</t>
        </is>
      </c>
      <c r="C3" s="11" t="inlineStr">
        <is>
          <t>Enlace</t>
        </is>
      </c>
    </row>
    <row r="4">
      <c r="B4" s="12" t="inlineStr">
        <is>
          <t>PanamaCompra: cuadro de propuestas de la LPU 01-2026 de la CSS</t>
        </is>
      </c>
      <c r="C4" s="9" t="inlineStr">
        <is>
          <t>https://apisv3.panamacompra.gob.pa/documentos-actos-publico/cuadroPropuesta/12/procesoVistaCuadroPropuesta/712894</t>
        </is>
      </c>
    </row>
    <row r="5">
      <c r="B5" s="12" t="inlineStr">
        <is>
          <t>Ley 419 de 2024 (medicamentos y compras públicas de medicamentos)</t>
        </is>
      </c>
      <c r="C5" s="9" t="inlineStr">
        <is>
          <t>https://dnfd.minsa.gob.pa/sites/default/files/2025-08/Ley%20419%20de%201%20de%20febrero%20de%202024.pdf</t>
        </is>
      </c>
    </row>
    <row r="6">
      <c r="B6" s="12" t="inlineStr">
        <is>
          <t>Ley 462 de 2025 (reforma de la CSS y de la Ley 419)</t>
        </is>
      </c>
      <c r="C6" s="9" t="inlineStr">
        <is>
          <t>https://www.css.gob.pa/wp-content/uploads/2025/03/Ley-462-de-2025.pdf</t>
        </is>
      </c>
    </row>
    <row r="7">
      <c r="B7" s="12" t="inlineStr">
        <is>
          <t>Ley 316 de 2022 (conflicto de intereses)</t>
        </is>
      </c>
      <c r="C7" s="9" t="inlineStr">
        <is>
          <t>https://s3-legispan.asamblea.gob.pa/legispan/NORMAS/2020/2022/LEY/Administrador%20Legispan_29602-A_2022_8_18_ASAMBLEA%20NACIONAL_316.pdf</t>
        </is>
      </c>
    </row>
    <row r="8">
      <c r="B8" s="12" t="inlineStr">
        <is>
          <t>Decreto Ejecutivo 27 de 2024 (tasas, licencias, registros, compras)</t>
        </is>
      </c>
      <c r="C8" s="9" t="inlineStr">
        <is>
          <t>https://www.minsa.gob.pa/sites/default/files/general/decreto_ejecutivo_27_de_10_de_mayo_de_2024.pdf</t>
        </is>
      </c>
    </row>
    <row r="9">
      <c r="B9" s="12" t="inlineStr">
        <is>
          <t>Resolución 985 de 2025 (principios activos con equivalencia terapéutica)</t>
        </is>
      </c>
      <c r="C9" s="9" t="inlineStr">
        <is>
          <t>https://www.minsa.gob.pa/sites/default/files/general/resolucion_985_go30317_08072025.pdf</t>
        </is>
      </c>
    </row>
    <row r="10">
      <c r="B10" s="12" t="inlineStr">
        <is>
          <t>PMBI: compras concluidas 2022-2025 (precios domésticos indios)</t>
        </is>
      </c>
      <c r="C10" s="9" t="inlineStr">
        <is>
          <t>https://www.pmbi.co.in/Data/Awarded_Tender/Procurement%20Dept%202022_2025_13022026.pdf</t>
        </is>
      </c>
    </row>
    <row r="11">
      <c r="B11" s="12" t="inlineStr">
        <is>
          <t>TNMSC: licitación e-018/2024 (precios domésticos indios)</t>
        </is>
      </c>
      <c r="C11" s="9" t="inlineStr">
        <is>
          <t>https://tnmsc.tn.gov.in/linkfiles/news_events/N2502472.pdf</t>
        </is>
      </c>
    </row>
    <row r="12">
      <c r="B12" s="12" t="inlineStr">
        <is>
          <t>Assam Medical Services Corporation: último precio de compra (2025)</t>
        </is>
      </c>
      <c r="C12" s="9" t="inlineStr">
        <is>
          <t>https://amscl.assam.gov.in/sites/default/files/public_utility/Rates%20LPP-Drugs.pdf</t>
        </is>
      </c>
    </row>
    <row r="13">
      <c r="B13" s="12" t="inlineStr">
        <is>
          <t>RBI: tasa de referencia INR/USD</t>
        </is>
      </c>
      <c r="C13" s="9" t="inlineStr">
        <is>
          <t>https://www.rbi.org.in/</t>
        </is>
      </c>
    </row>
    <row r="14">
      <c r="B14" s="12" t="inlineStr">
        <is>
          <t>AJOT: tarifas FAK de CMA CGM del subcontinente indio a Latinoamérica (jun-2026)</t>
        </is>
      </c>
      <c r="C14" s="9" t="inlineStr">
        <is>
          <t>https://www.ajot.com/news/cma-cgm-fak-rates-from-the-indian-subcontinent-to-latin-america-and-north-europe-the-mediterranean-north-africa</t>
        </is>
      </c>
    </row>
    <row r="15">
      <c r="B15" s="12" t="inlineStr">
        <is>
          <t>Banco General: tasas y comisiones de garantías</t>
        </is>
      </c>
      <c r="C15" s="9" t="inlineStr">
        <is>
          <t>https://www.bgeneral.com/tasas-comisiones-recargos/</t>
        </is>
      </c>
    </row>
    <row r="16">
      <c r="B16" s="12" t="inlineStr">
        <is>
          <t>Open Contracting: OCDS de la DGCP de Panamá (publicación 120)</t>
        </is>
      </c>
      <c r="C16" s="9" t="inlineStr">
        <is>
          <t>https://data.open-contracting.org/en/publication/120</t>
        </is>
      </c>
    </row>
    <row r="17">
      <c r="B17" s="12" t="inlineStr">
        <is>
          <t>Registro completo de verificaciones (474 afirmaciones con fuente y fecha)</t>
        </is>
      </c>
      <c r="C17" s="9" t="inlineStr">
        <is>
          <t>research/verificacion_2026-10-09/registro_verificaciones.csv (repositorio)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2026-10-10T01:42:27Z</dcterms:created>
  <dcterms:modified xmlns:dcterms="http://purl.org/dc/terms/" xmlns:xsi="http://www.w3.org/2001/XMLSchema-instance" xsi:type="dcterms:W3CDTF">2026-10-10T01:42:27Z</dcterms:modified>
</cp:coreProperties>
</file>